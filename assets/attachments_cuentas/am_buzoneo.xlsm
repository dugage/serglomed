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CF7912D4-E1FB-CFBD-DB76-401B14FF14DE}"/>
  <workbookPr codeName="ThisWorkbook" defaultThemeVersion="124226"/>
  <bookViews>
    <workbookView xWindow="-15" yWindow="150" windowWidth="16080" windowHeight="9525" tabRatio="602"/>
  </bookViews>
  <sheets>
    <sheet name="Ahorrometro" sheetId="2" r:id="rId1"/>
    <sheet name="Hoja2" sheetId="5" r:id="rId2"/>
    <sheet name="Información de Penalizaciones" sheetId="6" r:id="rId3"/>
  </sheets>
  <definedNames>
    <definedName name="_xlnm.Print_Area" localSheetId="0">Ahorrometro!$A$5:$AO$127</definedName>
  </definedNames>
  <calcPr calcId="125725"/>
  <fileRecoveryPr autoRecover="0"/>
</workbook>
</file>

<file path=xl/calcChain.xml><?xml version="1.0" encoding="utf-8"?>
<calcChain xmlns="http://schemas.openxmlformats.org/spreadsheetml/2006/main">
  <c r="Q48" i="2"/>
  <c r="G54" l="1"/>
  <c r="AQ63"/>
  <c r="AT62"/>
  <c r="AU62" s="1"/>
  <c r="AT61"/>
  <c r="AU61" s="1"/>
  <c r="AT60"/>
  <c r="AU60" s="1"/>
  <c r="AT59"/>
  <c r="AU59" s="1"/>
  <c r="AT58"/>
  <c r="AU58" s="1"/>
  <c r="AT57"/>
  <c r="AU57" s="1"/>
  <c r="AT56"/>
  <c r="AU56" s="1"/>
  <c r="AT55"/>
  <c r="AU55" s="1"/>
  <c r="AT54"/>
  <c r="AU54" s="1"/>
  <c r="AT53"/>
  <c r="AU53" s="1"/>
  <c r="AT52"/>
  <c r="AU52" s="1"/>
  <c r="AT51"/>
  <c r="AU51" s="1"/>
  <c r="AT48"/>
  <c r="AU48" s="1"/>
  <c r="AT64" l="1"/>
  <c r="AP65" s="1"/>
  <c r="AU64"/>
  <c r="D41" i="5"/>
  <c r="D36"/>
  <c r="AE68" i="2" l="1"/>
  <c r="AK68" s="1"/>
  <c r="AE67"/>
  <c r="E30" i="5"/>
  <c r="E29"/>
  <c r="E28"/>
  <c r="E27"/>
  <c r="E26"/>
  <c r="E25"/>
  <c r="E24"/>
  <c r="E23"/>
  <c r="AE76" i="2" l="1"/>
  <c r="AK76"/>
  <c r="AE74"/>
  <c r="W91"/>
  <c r="AD91" s="1"/>
  <c r="W92"/>
  <c r="AD92" s="1"/>
  <c r="AE75" l="1"/>
  <c r="AE73"/>
  <c r="AK74"/>
  <c r="AK75"/>
  <c r="AE72"/>
  <c r="AK72" s="1"/>
  <c r="Q51"/>
  <c r="AE70" l="1"/>
  <c r="AE81"/>
  <c r="AK73"/>
  <c r="AK81" s="1"/>
  <c r="AK80"/>
  <c r="AE80"/>
  <c r="AE79"/>
  <c r="AK79" s="1"/>
  <c r="AE78"/>
  <c r="E50" i="5"/>
  <c r="D40"/>
  <c r="D38"/>
  <c r="D39"/>
  <c r="D37"/>
  <c r="E73"/>
  <c r="E52"/>
  <c r="G62" i="2"/>
  <c r="G61"/>
  <c r="AS77" l="1"/>
  <c r="Q62"/>
  <c r="Q60"/>
  <c r="Q59"/>
  <c r="Q58"/>
  <c r="Q57"/>
  <c r="Q56"/>
  <c r="Q55"/>
  <c r="Q54"/>
  <c r="Q52"/>
  <c r="AE69"/>
  <c r="E76" i="5" l="1"/>
  <c r="E56"/>
  <c r="E84"/>
  <c r="E83"/>
  <c r="E82"/>
  <c r="E81"/>
  <c r="E80"/>
  <c r="E79"/>
  <c r="E78"/>
  <c r="E77"/>
  <c r="E75"/>
  <c r="E74"/>
  <c r="E72"/>
  <c r="E70"/>
  <c r="E69"/>
  <c r="E67"/>
  <c r="E66"/>
  <c r="H56"/>
  <c r="E55"/>
  <c r="E54"/>
  <c r="E53"/>
  <c r="E51"/>
  <c r="E49"/>
  <c r="E48"/>
  <c r="E47"/>
  <c r="E46"/>
  <c r="E45"/>
  <c r="E44"/>
  <c r="E41"/>
  <c r="E40"/>
  <c r="E39"/>
  <c r="E38"/>
  <c r="E37"/>
  <c r="E36"/>
  <c r="E34"/>
  <c r="E33"/>
  <c r="E32"/>
  <c r="E31"/>
  <c r="E22"/>
  <c r="E21"/>
  <c r="D20"/>
  <c r="E20" s="1"/>
  <c r="E19"/>
  <c r="E18"/>
  <c r="D17"/>
  <c r="E17" s="1"/>
  <c r="E16"/>
  <c r="E15"/>
  <c r="D14"/>
  <c r="E14" s="1"/>
  <c r="E13"/>
  <c r="E12"/>
  <c r="D11"/>
  <c r="E11" s="1"/>
  <c r="E10"/>
  <c r="E9"/>
  <c r="D8"/>
  <c r="E8" s="1"/>
  <c r="D7"/>
  <c r="E7" s="1"/>
  <c r="BC82" i="2" l="1"/>
  <c r="AR48"/>
  <c r="V48"/>
  <c r="AK48" s="1"/>
  <c r="CS10"/>
  <c r="CS17"/>
  <c r="CS18"/>
  <c r="CS19"/>
  <c r="CS20"/>
  <c r="CS21"/>
  <c r="CS22"/>
  <c r="CS23"/>
  <c r="CS24"/>
  <c r="CS25"/>
  <c r="CS26"/>
  <c r="CS27"/>
  <c r="CS28"/>
  <c r="CS9"/>
  <c r="AK67"/>
  <c r="AK70" s="1"/>
  <c r="AR70" s="1"/>
  <c r="AK69"/>
  <c r="AK84" l="1"/>
  <c r="AR49"/>
  <c r="AK65"/>
  <c r="BR45"/>
  <c r="BR44"/>
  <c r="CA26"/>
  <c r="CA25"/>
  <c r="CA24"/>
  <c r="CA23"/>
  <c r="CA22"/>
  <c r="CA21"/>
  <c r="CQ28"/>
  <c r="CQ27"/>
  <c r="CQ26"/>
  <c r="CQ25"/>
  <c r="CQ24"/>
  <c r="CQ23"/>
  <c r="CQ22"/>
  <c r="CQ21"/>
  <c r="CQ20"/>
  <c r="CQ19"/>
  <c r="CQ18"/>
  <c r="CQ17"/>
  <c r="CQ10"/>
  <c r="CQ9"/>
  <c r="CJ10"/>
  <c r="CJ17"/>
  <c r="CJ18"/>
  <c r="CJ19"/>
  <c r="CJ20"/>
  <c r="CJ21"/>
  <c r="CJ22"/>
  <c r="CJ23"/>
  <c r="CJ24"/>
  <c r="CJ25"/>
  <c r="CJ26"/>
  <c r="CJ27"/>
  <c r="CJ28"/>
  <c r="CJ29"/>
  <c r="CJ30"/>
  <c r="CJ31"/>
  <c r="CJ32"/>
  <c r="CJ33"/>
  <c r="CJ34"/>
  <c r="BR43"/>
  <c r="BR29"/>
  <c r="BR30"/>
  <c r="BR31"/>
  <c r="BR32"/>
  <c r="BR33"/>
  <c r="BR34"/>
  <c r="CA27"/>
  <c r="CA28"/>
  <c r="BR39"/>
  <c r="BR38"/>
  <c r="CJ9"/>
  <c r="AK22"/>
  <c r="AK88" l="1"/>
  <c r="AK60"/>
  <c r="G60"/>
  <c r="AK59"/>
  <c r="G59"/>
  <c r="AK58"/>
  <c r="G58"/>
  <c r="AK57"/>
  <c r="G57"/>
  <c r="AK56"/>
  <c r="G56"/>
  <c r="AK53" l="1"/>
  <c r="AK54"/>
  <c r="AK55"/>
  <c r="AK52"/>
  <c r="AK51"/>
  <c r="BQ24"/>
  <c r="BQ19"/>
  <c r="BQ9"/>
  <c r="BH20"/>
  <c r="BQ20" s="1"/>
  <c r="BQ23" l="1"/>
  <c r="BQ22"/>
  <c r="AK90" l="1"/>
  <c r="AE90" s="1"/>
  <c r="AK47"/>
  <c r="W89" l="1"/>
  <c r="V47"/>
  <c r="Q47"/>
  <c r="BR17"/>
  <c r="BR18"/>
  <c r="BR10"/>
  <c r="BQ10"/>
  <c r="BR9"/>
  <c r="BH18"/>
  <c r="BQ18" s="1"/>
  <c r="BH17"/>
  <c r="BQ17" s="1"/>
  <c r="G55" l="1"/>
  <c r="G53"/>
  <c r="G52"/>
  <c r="G51"/>
  <c r="G48"/>
  <c r="G89" l="1"/>
</calcChain>
</file>

<file path=xl/comments1.xml><?xml version="1.0" encoding="utf-8"?>
<comments xmlns="http://schemas.openxmlformats.org/spreadsheetml/2006/main">
  <authors>
    <author>Usuario</author>
    <author>manu marquez</author>
  </authors>
  <commentList>
    <comment ref="AP50" authorId="0">
      <text>
        <r>
          <rPr>
            <b/>
            <sz val="9"/>
            <color indexed="81"/>
            <rFont val="Tahoma"/>
            <family val="2"/>
          </rPr>
          <t xml:space="preserve">Introducir las penalizaciones de cada línea consultadas con el operador donante.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51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1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2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2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3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3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4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4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5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5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6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6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7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7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8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8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9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9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60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60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61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61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62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62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</commentList>
</comments>
</file>

<file path=xl/sharedStrings.xml><?xml version="1.0" encoding="utf-8"?>
<sst xmlns="http://schemas.openxmlformats.org/spreadsheetml/2006/main" count="530" uniqueCount="419">
  <si>
    <t>nombre</t>
  </si>
  <si>
    <t>apellidos</t>
  </si>
  <si>
    <t xml:space="preserve">ADSL + fijo </t>
  </si>
  <si>
    <t>Total</t>
  </si>
  <si>
    <t>Pagas al mes</t>
  </si>
  <si>
    <t>Pago inicial en terminales</t>
  </si>
  <si>
    <t>modelo</t>
  </si>
  <si>
    <t>Canguro 35</t>
  </si>
  <si>
    <t>Canguro 45</t>
  </si>
  <si>
    <t>Observaciones:</t>
  </si>
  <si>
    <t>operador</t>
  </si>
  <si>
    <t>coste mensual</t>
  </si>
  <si>
    <t>Todos los supuestos de ahorros/ejemplos de facturas según datos facilitados por el potencial cliente</t>
  </si>
  <si>
    <t xml:space="preserve"> </t>
  </si>
  <si>
    <t>Línea Adicional 9€</t>
  </si>
  <si>
    <t>Válido hasta:</t>
  </si>
  <si>
    <t>número tlfno.</t>
  </si>
  <si>
    <t>Sin IVA</t>
  </si>
  <si>
    <t>Precios</t>
  </si>
  <si>
    <t>Canguro 35 A.Indirec.</t>
  </si>
  <si>
    <t>Canguro 45 A.Indirec.</t>
  </si>
  <si>
    <t>IVA</t>
  </si>
  <si>
    <t>IGIC</t>
  </si>
  <si>
    <t>IPSI (Ceuta)</t>
  </si>
  <si>
    <t>IPSI (Melilla)</t>
  </si>
  <si>
    <t>Selecciona con:</t>
  </si>
  <si>
    <t>Línea Adicional 9 €</t>
  </si>
  <si>
    <t>Canguro 50 (4G)</t>
  </si>
  <si>
    <t>Canguro 50 (4G) A.Indirec.</t>
  </si>
  <si>
    <t>Línea Adicional 24 € (4G)</t>
  </si>
  <si>
    <t>Documentación:</t>
  </si>
  <si>
    <t>DNI administrador/apoderado, Justificante de cuenta bancaria.</t>
  </si>
  <si>
    <t>Alta nueva</t>
  </si>
  <si>
    <t>Portabilidad Postpago</t>
  </si>
  <si>
    <t>Portabilidad Prepago</t>
  </si>
  <si>
    <t>tipo de alta</t>
  </si>
  <si>
    <t>Línea Adicional 19 € (4G)</t>
  </si>
  <si>
    <t>Nuevas Tarifas Para PYMES y Autonomos</t>
  </si>
  <si>
    <t>para ahorrar al máximo en tu móvil y ADSL de tu negocio</t>
  </si>
  <si>
    <t>Conecta Pymes 2A</t>
  </si>
  <si>
    <t>Conecta Pymes 4A</t>
  </si>
  <si>
    <t>Conecta Pymes 2D</t>
  </si>
  <si>
    <t>Conecta Pymes 4D</t>
  </si>
  <si>
    <t>Conecta Pymes 6D</t>
  </si>
  <si>
    <t>Conecta Pymes 8D</t>
  </si>
  <si>
    <t>dto + de 4 lineas</t>
  </si>
  <si>
    <t>dto + de 4 lineas IVA</t>
  </si>
  <si>
    <t>terminales</t>
  </si>
  <si>
    <t>oferta</t>
  </si>
  <si>
    <t>tarifa</t>
  </si>
  <si>
    <t>coste</t>
  </si>
  <si>
    <t xml:space="preserve">Ardilla Pro 7 </t>
  </si>
  <si>
    <t xml:space="preserve">Ballena Pro 23 </t>
  </si>
  <si>
    <t xml:space="preserve">Ballena Pro 35 </t>
  </si>
  <si>
    <t xml:space="preserve">Canguro Pro 35 </t>
  </si>
  <si>
    <t xml:space="preserve">Canguro Pro 35 fibra 100 Mb </t>
  </si>
  <si>
    <t xml:space="preserve">Canguro Pro 35 fibra 30 Mb </t>
  </si>
  <si>
    <t xml:space="preserve">Canguro Pro 45 </t>
  </si>
  <si>
    <t xml:space="preserve">Canguro Pro 45 fibra 100 Mb </t>
  </si>
  <si>
    <t xml:space="preserve">Canguro Pro 45 fibra 30 Mb </t>
  </si>
  <si>
    <t xml:space="preserve">Canguro Pro 50 </t>
  </si>
  <si>
    <t xml:space="preserve">Canguro Pro 50 fibra 100 Mb </t>
  </si>
  <si>
    <t xml:space="preserve">Canguro Pro 50 fibra 30 Mb </t>
  </si>
  <si>
    <t xml:space="preserve">Delfín Pro 16 </t>
  </si>
  <si>
    <t xml:space="preserve">Delfín Pro 25 </t>
  </si>
  <si>
    <t xml:space="preserve">Delfín Pro 39 </t>
  </si>
  <si>
    <t xml:space="preserve">Internet Everywhere Pro 1 GB </t>
  </si>
  <si>
    <t xml:space="preserve">Internet Everywhere Pro 10 GB </t>
  </si>
  <si>
    <t xml:space="preserve">Internet Everywhere Pro 2 GB </t>
  </si>
  <si>
    <t xml:space="preserve">Internet Everywhere Pro 5 GB </t>
  </si>
  <si>
    <t xml:space="preserve">Línea Adicional 19 (Canguro Pro) </t>
  </si>
  <si>
    <t xml:space="preserve">Línea Adicional 24 (Canguro Pro) </t>
  </si>
  <si>
    <t xml:space="preserve">Línea Adicional 9 (Canguro Pro) </t>
  </si>
  <si>
    <t xml:space="preserve">Mi Fijo Pro (para empresas) </t>
  </si>
  <si>
    <t xml:space="preserve">Smart SIM </t>
  </si>
  <si>
    <t xml:space="preserve">ADSL Pro + llamadas Fax - Directo </t>
  </si>
  <si>
    <t xml:space="preserve">ADSL Pro + llamadas Fax - Indirecto 6 Mb </t>
  </si>
  <si>
    <t xml:space="preserve">ADSL Pro + llamadas Fax - Indirecto 4 Mb </t>
  </si>
  <si>
    <t xml:space="preserve">ADSL Pro + llamadas Fax - Indirecto 1 Mb </t>
  </si>
  <si>
    <t xml:space="preserve">ADSL Pro + llamadas (cobertura directa) </t>
  </si>
  <si>
    <t xml:space="preserve">ADSL Pro </t>
  </si>
  <si>
    <t xml:space="preserve">fibra +Profesional 100 Mb </t>
  </si>
  <si>
    <t xml:space="preserve">fibra +Profesional 30 Mb </t>
  </si>
  <si>
    <t>TARIFA PLANA MOVIL 250 MIN.</t>
  </si>
  <si>
    <t>TARIFA PLANA MOVIL 600 MIN.</t>
  </si>
  <si>
    <t xml:space="preserve">IP Fija ADSL </t>
  </si>
  <si>
    <t>DDI Adicional</t>
  </si>
  <si>
    <t>iva inc</t>
  </si>
  <si>
    <t>Con  Orange</t>
  </si>
  <si>
    <t>Coste Inicial</t>
  </si>
  <si>
    <t>Coste Mensual</t>
  </si>
  <si>
    <t>Unidades</t>
  </si>
  <si>
    <t>Coste U./Mensual</t>
  </si>
  <si>
    <t>nombre del comercial</t>
  </si>
  <si>
    <t>correo electrónico</t>
  </si>
  <si>
    <t>CIF / NIF</t>
  </si>
  <si>
    <t>Empresa</t>
  </si>
  <si>
    <t>dirección</t>
  </si>
  <si>
    <t>fecha presentación</t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</si>
  <si>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42,35€/mes con IVA. Canguro Pro 45: 54,45€/mes con IVA. Canguro Pro 50: 60,5€/mes con IVA. Servicio línea fija y ADSL: sujeto a calidad de la línea telefónica. Disponible para clientes con cualquiera de las ofertas con línea Orange en zonas de cobertura directa o indirecta. Suplemento de 5€/mes (6.05€/mes con IVA)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(6.05 cents€/min con IVA) a fijos nacionales y 0,24€/min (29 cents€/min con IVA) a móviles, ambos con CELL de 0,15€ (18,15 cents€ con IVA). Los clientes que al contratar la oferta ADSL realicen una portabilidad del fijo, pero cursen la baja antes de la activación del servicio, o dentro de los 7 días posteriores, deberán abonar hasta 169€ (204,49€ con IVA)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(10cents€ con IVA) y 0,15€ CELL (18cents€ con IVA). SMS nacionales 0,09 €/SMS (10cents€ con IVA).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(10cents€ con IVA) y 0,15€ CELL (18cents€ con IVA).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0,09€/min) y 0,15€ CELL (18cents€ con IVA).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(10,89€/mes con IVA) para Canguro Pro 35, 19€/mes (22,99€/mes con IVA) para Canguro Pro 45 y 24€/mes (29,04€ con IVA) para Canguro Pro 50 (4G). Cuota mensual  indicada (tanto para pack inicial como líneas adicionales) siempre y cuando se activa o mantiene Canguro Pro (ADSL y  Móvil).</t>
    </r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</si>
  <si>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37,45€/mes con IGIC Canguro Pro 45: 48,15€/mes con IGIC. Canguro Pro 50: 53,5€/mes con IGIC. Servicio línea fija y ADSL: sujeto a calidad de la línea telefónica. Disponible para clientes con cualquiera de las ofertas con línea Orange en zonas de cobertura directa o indirecta. Suplemento de 5€/mes (5,35€/mes con IGIC)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(5,35cents€/min con IGIC) a fijos nacionales y 0,24€/min (26 cents€/min con IGIC) a móviles, ambos con CELL de 0,15€ (16 cents€ con IGIC). Los clientes que al contratar la oferta ADSL realicen una portabilidad del fijo, pero cursen la baja antes de la activación del servicio, o dentro de los 7 días posteriores, deberán abonar hasta 169€ (180,83€ con IGIC)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(10cents€ con IGIC) y 0,15€ CELL (16cents€ con IGIC). SMS nacionales 0,09 €/SMS (10cents€ con IGIC).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(10cents€ con IGIC) y 0,15€ CELL (16cents€ con IGIC).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 (10cents€ con IGIC) y 0,15€ CELL (16cents€ con IGIC).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(9,63 €/mes con IGIC) para Canguro Pro 35, 19€/mes (20,33€/mes con IGIC) para Canguro Pro 45 y 24€/mes (25,68€ con IGIC) para Canguro Pro 50 (4G). Cuota mensual  indicada (tanto para pack inicial como líneas adicionales) siempre y cuando se activa o mantiene Canguro Pro (ADSL y  Móvil).</t>
    </r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</si>
  <si>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38,50€/mes con IPSIC Canguro Pro 45: 49,50€/mes con IPSIC. Canguro Pro 50: 55€/mes con IPSIC. Servicio línea fija y ADSL: sujeto a calidad de la línea telefónica. Disponible para clientes con cualquiera de las ofertas con línea Orange en zonas de cobertura directa o indirecta. Suplemento de 5€/mes (5,5€/mes con IPSIC)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(5,5cents€/min con IPSIC) a fijos nacionales y 0,24€/min (26 cents€/min con IPSIC) a móviles, ambos con CELL de 0,15€ (16,5 cents€ con IPSIC). Los clientes que al contratar la oferta ADSL realicen una portabilidad del fijo, pero cursen la baja antes de la activación del servicio, o dentro de los 7 días posteriores, deberán abonar hasta 169€ (185,9€ con IPSIC)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(10cents€ con IGIC) y 0,15€ CELL (16,5cents€ con IPSIC). SMS nacionales 0,09 €/SMS (10cents€ con IGIC).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(10cents€ con IPSIC) y 0,15€ CELL (16,5cents€ con IPSIC).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 (10cents€ con IPSIC) y 0,15€ CELL (16,5cents€ con IPSIC).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(9,9 €/mes con IPSIC) para Canguro Pro 35, 19€/mes (20,9€/mes con IPSIC) para Canguro Pro 45 y 24€/mes (26,4€ con IPSIC) para Canguro Pro 50 (4G). Cuota mensual  indicada (tanto para pack inicial como líneas adicionales) siempre y cuando se activa o mantiene Canguro Pro (ADSL y  Móvil).</t>
    </r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</si>
  <si>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36,4€/mes con IPSIM Canguro Pro 45: 46,8€/mes con IPSIM. Canguro Pro 50: 52€/mes con IPSIM. Servicio línea fija y ADSL: sujeto a calidad de la línea telefónica. Disponible para clientes con cualquiera de las ofertas con línea Orange en zonas de cobertura directa o indirecta. Suplemento de 5€/mes (5,2€/mes con IPSIM)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(5,2cents€/min con IPSIM) a fijos nacionales y 0,24€/min (25 cents€/min con IPSIM) a móviles, ambos con CELL de 0,15€ (16 cents€ con IPSIM). Los clientes que al contratar la oferta ADSL realicen una portabilidad del fijo, pero cursen la baja antes de la activación del servicio, o dentro de los 7 días posteriores, deberán abonar hasta 169€ (175,76€ con IPSIM)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(9cents€ con IPSIM) y 0,15€ CELL (16cents€ con IPSIM). SMS nacionales 0,09 €/SMS (9cents€ con IPSIM).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(9cents€ con IPSIM) y 0,15€ CELL (16cents€ con IPSIM).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 (9cents€ con IPSIM) y 0,15€ CELL (16cents€ con IPSIM).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(9,36 €/mes con IPSIM) para Canguro Pro 35, 19€/mes (19,76€/mes con IPSIM) para Canguro Pro 45 y 24€/mes (24,96€ con IPSIM) para Canguro Pro 50 (4G). Cuota mensual  indicada (tanto para pack inicial como líneas adicionales) siempre y cuando se activa o mantiene Canguro Pro (ADSL y  Móvil).</t>
    </r>
  </si>
  <si>
    <t>Linea Adicional 14€</t>
  </si>
  <si>
    <t>oferta 2ª linea abril</t>
  </si>
  <si>
    <t>TARIFAS</t>
  </si>
  <si>
    <t>sin iva</t>
  </si>
  <si>
    <t>con iva</t>
  </si>
  <si>
    <t>Vodafone</t>
  </si>
  <si>
    <t>Portabilidad</t>
  </si>
  <si>
    <t>Movistar</t>
  </si>
  <si>
    <t>Yoigo</t>
  </si>
  <si>
    <t>Prepago</t>
  </si>
  <si>
    <t>Mas Movil</t>
  </si>
  <si>
    <t>Jazztel</t>
  </si>
  <si>
    <t>Otros</t>
  </si>
  <si>
    <t>Linea adicional Fibra 50 Mb</t>
  </si>
  <si>
    <t>Linea adicional Fibra 300 Mb</t>
  </si>
  <si>
    <t>Linea adicional Fibra 500 Mb</t>
  </si>
  <si>
    <t>Linea adicional Fibra indirecta NEBA 300</t>
  </si>
  <si>
    <t>Linea adicional ADSL</t>
  </si>
  <si>
    <t>ADICIONALES</t>
  </si>
  <si>
    <t>Linea ilimitada adicional Love Neg. Total</t>
  </si>
  <si>
    <t>Linea 250 min adicional Love Neg. Total</t>
  </si>
  <si>
    <t>Linea 200 min adicional Love Neg. Esencial 4 Gb</t>
  </si>
  <si>
    <t>Linea Mi Fijo Pro (min ilimitados)</t>
  </si>
  <si>
    <t>Linea adicional Go Negocio Sin Limites</t>
  </si>
  <si>
    <t xml:space="preserve">Linea adcional Go Negocio Esencial </t>
  </si>
  <si>
    <t>Linea adicional Go Negocio Básico</t>
  </si>
  <si>
    <t>Linea adicional Mi fijo Pro + llamadas</t>
  </si>
  <si>
    <t>Linea adicional Go Total+</t>
  </si>
  <si>
    <t>Incluida en paquete principal Love</t>
  </si>
  <si>
    <t>Incluida en paquete principal GO</t>
  </si>
  <si>
    <t>PROMOCIONES</t>
  </si>
  <si>
    <t>20% descuento los 6 primeros meses</t>
  </si>
  <si>
    <t>3 meses de regalo Netflix</t>
  </si>
  <si>
    <t>4G en tu Negocio + Go Negocio con 4,13€ Dto. Indefinido</t>
  </si>
  <si>
    <t>SUPLEMENTOS</t>
  </si>
  <si>
    <t>Internet 4G en tu oficina 90 Gb</t>
  </si>
  <si>
    <t>Internet 4G en tu negocio 50 Gb</t>
  </si>
  <si>
    <t>Internet Movil Pro 8 Gb</t>
  </si>
  <si>
    <t>Internet Movil Pro 2 Gb</t>
  </si>
  <si>
    <t>Orange Tv Futbol</t>
  </si>
  <si>
    <t>beIN SPORTS</t>
  </si>
  <si>
    <t>Bono de datos adicional 1 GB</t>
  </si>
  <si>
    <t>Bono de datos adicional 5 GB</t>
  </si>
  <si>
    <t>IP Fija</t>
  </si>
  <si>
    <t>WIFI para Negocios</t>
  </si>
  <si>
    <t>Orange TV Bares</t>
  </si>
  <si>
    <t>Netflix</t>
  </si>
  <si>
    <t>Series Xtra</t>
  </si>
  <si>
    <t>Cazavision</t>
  </si>
  <si>
    <t>MultiSIM</t>
  </si>
  <si>
    <t>Alcatel 2008</t>
  </si>
  <si>
    <t>Alcatel 2051</t>
  </si>
  <si>
    <t>Alcatel A5 Led 4G</t>
  </si>
  <si>
    <t>Alcatel Idol 4 VR 4G</t>
  </si>
  <si>
    <t>Alcatel One Touch Pixi 4 7.0 WiFi</t>
  </si>
  <si>
    <t>Alcatel OT POP 4+ 4G</t>
  </si>
  <si>
    <t>Alcatel OT-2045</t>
  </si>
  <si>
    <t>Alcatel Plus 10 4G</t>
  </si>
  <si>
    <t>BQ Aquaris U 4G</t>
  </si>
  <si>
    <t>BQ Aquaris X5 Plus 16GB 4G</t>
  </si>
  <si>
    <t>Bundle Huawei P10 + Huawei Watch 2</t>
  </si>
  <si>
    <t>HTC Desire 626 4G</t>
  </si>
  <si>
    <t>Huawei Mate 9 4G</t>
  </si>
  <si>
    <t>Huawei Mediapad M2 10 4G</t>
  </si>
  <si>
    <t>Huawei Mediapad T1 10 4G</t>
  </si>
  <si>
    <t>Huawei Mediapad T1 8.0 Pro 4G</t>
  </si>
  <si>
    <t>Huawei P8 Lite 4G</t>
  </si>
  <si>
    <t>Huawei P8 Lite 2017 4G</t>
  </si>
  <si>
    <t>Huawei P9 4G</t>
  </si>
  <si>
    <t>Huawei P9 Lite 4G</t>
  </si>
  <si>
    <t>Huawei P10 4G</t>
  </si>
  <si>
    <t>Huawei P10 Lite 4G</t>
  </si>
  <si>
    <t>Huawei Y5 II 4G</t>
  </si>
  <si>
    <t>Huawei Watch 2 4G</t>
  </si>
  <si>
    <t>iPad Pro 128 GB 4G</t>
  </si>
  <si>
    <t>iPhone 5S 16GB 4G</t>
  </si>
  <si>
    <t>iPhone 6S 128GB 4G</t>
  </si>
  <si>
    <t>iPhone 6S 32GB 4G</t>
  </si>
  <si>
    <t>iPhone 6S Plus 128GB 4G</t>
  </si>
  <si>
    <t>iPhone 6S Plus 32GB 4G</t>
  </si>
  <si>
    <t>Iphone 7 128GB 4G</t>
  </si>
  <si>
    <t>Iphone 7 256GB 4G</t>
  </si>
  <si>
    <t>Iphone 7 32GB 4G</t>
  </si>
  <si>
    <t>Iphone 7 Plus 128GB 4G</t>
  </si>
  <si>
    <t>Iphone 7 Plus 256GB 4G</t>
  </si>
  <si>
    <t>Iphone 7 Plus 32GB 4G</t>
  </si>
  <si>
    <t>iPhone SE 16GB 4G</t>
  </si>
  <si>
    <t>iPhone SE 64GB 4G</t>
  </si>
  <si>
    <t>LG K4 2017 4G</t>
  </si>
  <si>
    <t>LG K10 4G</t>
  </si>
  <si>
    <t>LG Television 32"</t>
  </si>
  <si>
    <t>LG Television 43"</t>
  </si>
  <si>
    <t>LG X Power 4G</t>
  </si>
  <si>
    <t>Nokia 150</t>
  </si>
  <si>
    <t>Orange Cardphone</t>
  </si>
  <si>
    <t>Orange Dive 71 4G</t>
  </si>
  <si>
    <t>Orange Neva 80 4G</t>
  </si>
  <si>
    <t>Orange Rise 31 3G</t>
  </si>
  <si>
    <t>Orange Rise 51 4G</t>
  </si>
  <si>
    <t>Samsung Galaxy A3 2016 4G</t>
  </si>
  <si>
    <t>Samsung Galaxy A3 2017 4G</t>
  </si>
  <si>
    <t>Samsung Galaxy A5 2016 4G</t>
  </si>
  <si>
    <t>Samsung Galaxy A5 2017 4G</t>
  </si>
  <si>
    <t>Samsung Galaxy J3 2016 4G</t>
  </si>
  <si>
    <t>Samsung Galaxy J5 2016 4G</t>
  </si>
  <si>
    <t>Samsung Galaxy J7 2016 4G</t>
  </si>
  <si>
    <t>Samsung Galaxy S7 32GB 4G</t>
  </si>
  <si>
    <t>Samsung Galaxy S7 Edge 32GB 4G</t>
  </si>
  <si>
    <t>Samsung Galaxy S8 4G</t>
  </si>
  <si>
    <t>Samsung Galaxy S8 Plus 4G</t>
  </si>
  <si>
    <t>Samsung Galaxy Tab A 2016 10.1 4G</t>
  </si>
  <si>
    <t>Samsung Gear S3 Classic</t>
  </si>
  <si>
    <t>Samsung Television 32"</t>
  </si>
  <si>
    <t>Samsung Television 49"</t>
  </si>
  <si>
    <t>Samsung Television 50"</t>
  </si>
  <si>
    <t>Samsung Television 55"</t>
  </si>
  <si>
    <t>Sony PS4 Slim 500GB</t>
  </si>
  <si>
    <t>Sony PS4 Slim 1TB</t>
  </si>
  <si>
    <t>Sony Xperia E5 4G</t>
  </si>
  <si>
    <t>Sony Xperia XA 4G</t>
  </si>
  <si>
    <t>Sony Xperia XZ 4G</t>
  </si>
  <si>
    <t>SPC Felicity</t>
  </si>
  <si>
    <t>SPC Felicity 2017</t>
  </si>
  <si>
    <t>Alicante</t>
  </si>
  <si>
    <t>Almería</t>
  </si>
  <si>
    <t>Álava</t>
  </si>
  <si>
    <t>Asturias</t>
  </si>
  <si>
    <t>Ávila</t>
  </si>
  <si>
    <t>Badajoz</t>
  </si>
  <si>
    <t>Baleares, Islas</t>
  </si>
  <si>
    <t>Barcelona</t>
  </si>
  <si>
    <t>Bizkaia</t>
  </si>
  <si>
    <t>Burgos</t>
  </si>
  <si>
    <t>Cáceres</t>
  </si>
  <si>
    <t>Cádiz</t>
  </si>
  <si>
    <t>Cantabria</t>
  </si>
  <si>
    <t>Castellón</t>
  </si>
  <si>
    <t>Ciudad Real</t>
  </si>
  <si>
    <t>Córdoba</t>
  </si>
  <si>
    <t>Coruña, A</t>
  </si>
  <si>
    <t>Cuenca</t>
  </si>
  <si>
    <t>Gipuzkoa</t>
  </si>
  <si>
    <t>Girona</t>
  </si>
  <si>
    <t>Granada</t>
  </si>
  <si>
    <t>Guadalajara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</si>
  <si>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</si>
  <si>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</si>
  <si>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</si>
  <si>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</si>
  <si>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</si>
  <si>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</si>
  <si>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</si>
  <si>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</si>
  <si>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Murcia</t>
  </si>
  <si>
    <t>Navarra</t>
  </si>
  <si>
    <t>Ourense</t>
  </si>
  <si>
    <t>Palencia</t>
  </si>
  <si>
    <t>Palmas, Las</t>
  </si>
  <si>
    <t>Pontevedra</t>
  </si>
  <si>
    <t>Rioja, La</t>
  </si>
  <si>
    <t>Salamanca</t>
  </si>
  <si>
    <t>Santa Cruz de 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</si>
  <si>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</si>
  <si>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</si>
  <si>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</si>
  <si>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</si>
  <si>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</si>
  <si>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</si>
  <si>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</si>
  <si>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</si>
  <si>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Zamora</t>
  </si>
  <si>
    <t>Zaragoza</t>
  </si>
  <si>
    <t>Ceuta</t>
  </si>
  <si>
    <t>Melilla</t>
  </si>
  <si>
    <t>LN Total + Fibra ADSL + 3 lineas moviles + TV</t>
  </si>
  <si>
    <t>LN Esencial Fibra 300 Mb + 1 linea movil 4 Gb</t>
  </si>
  <si>
    <t>LN Esencial Fibra 50 Mb + 1 linea movil 4 Gb</t>
  </si>
  <si>
    <t>LN Sin Limites ADSL + 1 linea movil 4 Gb</t>
  </si>
  <si>
    <t>2º fijo</t>
  </si>
  <si>
    <t>3º fijo</t>
  </si>
  <si>
    <t>fijo 2</t>
  </si>
  <si>
    <t>fijo 3</t>
  </si>
  <si>
    <t>Go Negocio Total+ (2 lineas moviles)</t>
  </si>
  <si>
    <t>Go Negocio Sin Límites (1 linea movil)</t>
  </si>
  <si>
    <t>Go Negocio Esencial (1 linea movil)</t>
  </si>
  <si>
    <t>Go Negocio Básico ( 1 linea movil)</t>
  </si>
  <si>
    <t>Orange TV Cine y series LN Esencial</t>
  </si>
  <si>
    <t>Orange TV Cine y series LN Total y Sin Limites</t>
  </si>
  <si>
    <t>Linea Negocio Datos (2 GB)</t>
  </si>
  <si>
    <t>Linea adicional Fibra indirecta NEBA 50</t>
  </si>
  <si>
    <t>Linea Mi Fijo Pro sin llamadas a moviles</t>
  </si>
  <si>
    <t>LN Total + Fibra 500 Mb + 3 lineas moviles + TV (30GB)</t>
  </si>
  <si>
    <t>LN Total + Fibra 300 Mb + 3 lineas moviles + TV (30GB)</t>
  </si>
  <si>
    <t>LN Total + Fibra 50 Mb + 3 lineas moviles + TV (30GB)</t>
  </si>
  <si>
    <t>LN Total + Fibra 300 Mb + 2 lineas moviles (30 GB)</t>
  </si>
  <si>
    <t>LN Total + Fibra 50 Mb + 2 lineas moviles (30 GB)</t>
  </si>
  <si>
    <t>LN Total + ADSL + 2 lineas moviles (30 GB)</t>
  </si>
  <si>
    <t>LN Total Fibra 300 Mb + 2 lineas moviles (20 GB)</t>
  </si>
  <si>
    <t>LN Total Fibra 50 Mb + 2 lineas moviles (20 GB)</t>
  </si>
  <si>
    <t>LN Total ADSL + 2 lineas moviles (20 GB)</t>
  </si>
  <si>
    <t>LN Sin Limites Fibra 300 Mb + 1 linea movil 10 GB</t>
  </si>
  <si>
    <t>LN Sin Limites Fibra 50 Mb + 1 linea movil 10 GB</t>
  </si>
  <si>
    <t>LN Sin Limites ADSL + 1 linea movil 10 GB</t>
  </si>
  <si>
    <t>Descuentos a aplicar:</t>
  </si>
  <si>
    <t>Linea basica adicional LN Sin limites/Esencial 500 Mb</t>
  </si>
  <si>
    <t>Dto. 50%  4G en tu negocio 50 GB</t>
  </si>
  <si>
    <t>Dto. 50%  4G en tu oficina 90GB</t>
  </si>
  <si>
    <t>Imprescindible la solicitud de cobertura por parte del comercial para los productos de  Fibra y ADSL</t>
  </si>
  <si>
    <t>Descuento Love 6 primeros meses</t>
  </si>
  <si>
    <t>Adicionales Internet 4G:</t>
  </si>
  <si>
    <t>Adicionales SVAs:</t>
  </si>
  <si>
    <t>descuento 50%</t>
  </si>
  <si>
    <t>sumatorio c/IVA</t>
  </si>
  <si>
    <t>descuento 20%</t>
  </si>
  <si>
    <t>Pago mensual en terminales</t>
  </si>
  <si>
    <t>Iva incluid.</t>
  </si>
  <si>
    <t>teléfono contacto</t>
  </si>
  <si>
    <t>(línea fija incluida)</t>
  </si>
  <si>
    <r>
      <rPr>
        <b/>
        <sz val="12"/>
        <rFont val="Arial"/>
        <family val="2"/>
      </rPr>
      <t>Autónomos:</t>
    </r>
    <r>
      <rPr>
        <sz val="12"/>
        <rFont val="Arial"/>
        <family val="2"/>
      </rPr>
      <t xml:space="preserve"> DNI, último recibo cuota autónomos SS, justificante de cuenta bancaria.</t>
    </r>
  </si>
  <si>
    <r>
      <rPr>
        <b/>
        <sz val="12"/>
        <rFont val="Arial"/>
        <family val="2"/>
      </rPr>
      <t>Empresas</t>
    </r>
    <r>
      <rPr>
        <sz val="12"/>
        <rFont val="Arial"/>
        <family val="2"/>
      </rPr>
      <t>: escrituda de Constitución de la Sociedad, Documento cif definitivo, Poder notarial administrador/apoderado,</t>
    </r>
  </si>
  <si>
    <t>Actualmente dispones de:</t>
  </si>
  <si>
    <r>
      <t>móvil 1</t>
    </r>
    <r>
      <rPr>
        <b/>
        <vertAlign val="superscript"/>
        <sz val="12"/>
        <rFont val="Arial"/>
        <family val="2"/>
      </rPr>
      <t>o</t>
    </r>
  </si>
  <si>
    <r>
      <t>móvil 2</t>
    </r>
    <r>
      <rPr>
        <b/>
        <vertAlign val="superscript"/>
        <sz val="12"/>
        <rFont val="Arial"/>
        <family val="2"/>
      </rPr>
      <t>o</t>
    </r>
  </si>
  <si>
    <r>
      <t>móvil 3</t>
    </r>
    <r>
      <rPr>
        <b/>
        <vertAlign val="superscript"/>
        <sz val="12"/>
        <rFont val="Arial"/>
        <family val="2"/>
      </rPr>
      <t>o</t>
    </r>
  </si>
  <si>
    <r>
      <t>móvil 4</t>
    </r>
    <r>
      <rPr>
        <b/>
        <vertAlign val="superscript"/>
        <sz val="12"/>
        <rFont val="Arial"/>
        <family val="2"/>
      </rPr>
      <t>o</t>
    </r>
  </si>
  <si>
    <r>
      <t>móvil 5</t>
    </r>
    <r>
      <rPr>
        <b/>
        <vertAlign val="superscript"/>
        <sz val="12"/>
        <rFont val="Arial"/>
        <family val="2"/>
      </rPr>
      <t>o</t>
    </r>
  </si>
  <si>
    <r>
      <t>móvil 6</t>
    </r>
    <r>
      <rPr>
        <b/>
        <vertAlign val="superscript"/>
        <sz val="12"/>
        <rFont val="Arial"/>
        <family val="2"/>
      </rPr>
      <t>o</t>
    </r>
  </si>
  <si>
    <r>
      <t>móvil 7</t>
    </r>
    <r>
      <rPr>
        <b/>
        <vertAlign val="superscript"/>
        <sz val="12"/>
        <rFont val="Arial"/>
        <family val="2"/>
      </rPr>
      <t>o</t>
    </r>
  </si>
  <si>
    <r>
      <t>móvil 8</t>
    </r>
    <r>
      <rPr>
        <b/>
        <vertAlign val="superscript"/>
        <sz val="12"/>
        <rFont val="Arial"/>
        <family val="2"/>
      </rPr>
      <t>o</t>
    </r>
  </si>
  <si>
    <r>
      <t>móvil 9</t>
    </r>
    <r>
      <rPr>
        <b/>
        <vertAlign val="superscript"/>
        <sz val="12"/>
        <rFont val="Arial"/>
        <family val="2"/>
      </rPr>
      <t>o</t>
    </r>
  </si>
  <si>
    <r>
      <t>móvil 10</t>
    </r>
    <r>
      <rPr>
        <b/>
        <vertAlign val="superscript"/>
        <sz val="12"/>
        <rFont val="Arial"/>
        <family val="2"/>
      </rPr>
      <t>o</t>
    </r>
  </si>
  <si>
    <t>número tlf.</t>
  </si>
  <si>
    <t>Factura primeros 6 meses con IVA</t>
  </si>
  <si>
    <t>Factura mensual con IVA</t>
  </si>
  <si>
    <t>LN 2 ilimit con 50GB</t>
  </si>
  <si>
    <t>LN 4 ilimit con 70GB</t>
  </si>
  <si>
    <t>LN 6 ilimit con 90GB</t>
  </si>
  <si>
    <t>LN 8 ilimit con 110GB</t>
  </si>
  <si>
    <t>Go Negocio Total + 2 ilimits con 50GB</t>
  </si>
  <si>
    <t>Go Negocio Total + 4 ilimits con 70GB</t>
  </si>
  <si>
    <t>Go Negocio Total + 6 ilimits con 90GB</t>
  </si>
  <si>
    <t>Go Negocio Total + 8 ilimits con 110GB</t>
  </si>
  <si>
    <t>Dto. 50% 3 meses Internet 8GB</t>
  </si>
  <si>
    <t>Dto. 50% 3 meses Internet 10GB</t>
  </si>
  <si>
    <t>Internet Movil Pro 10 Gb</t>
  </si>
  <si>
    <t>Penalización</t>
  </si>
  <si>
    <t>Cubierto</t>
  </si>
  <si>
    <t>penalizaciones</t>
  </si>
  <si>
    <t>Linea ilimitada adicionalLove Neg. Sin limite 10 Gb</t>
  </si>
  <si>
    <t>Linea ilimitada adicional Love Neg. Sin limite 10 Gb</t>
  </si>
  <si>
    <t>nº lineas</t>
  </si>
  <si>
    <t>importe</t>
  </si>
  <si>
    <t>G90:J93</t>
  </si>
  <si>
    <t>DIRECTA</t>
  </si>
  <si>
    <t>INDIRECTA</t>
  </si>
  <si>
    <t>Alcatel A3 4G</t>
  </si>
  <si>
    <t>Alcatel OT-2038</t>
  </si>
  <si>
    <t>Amazon Kindle PaperWhite</t>
  </si>
  <si>
    <t>BQ Aquaris Xpro 64GB 4G</t>
  </si>
  <si>
    <t>Bundle Galaxy S8 + DeX</t>
  </si>
  <si>
    <t>Bundle Galaxy S8 Plus + DeX</t>
  </si>
  <si>
    <t>Bundle Huawei P10 + Mediapad T1 8.0 Pro 4G</t>
  </si>
  <si>
    <t>Bundle Huawei P10 + Mediapad T3 8.0 Pro 4G</t>
  </si>
  <si>
    <t>Bundle Huawei Y6 2017 + altavoz JBL GO BT</t>
  </si>
  <si>
    <t>Bundle Sony Xperia XA1 + Auriculares</t>
  </si>
  <si>
    <t>Bundle Sony Xperia XZ Premium + PS4 Slim 500GB</t>
  </si>
  <si>
    <t>Chromecast</t>
  </si>
  <si>
    <t>Huawei Mediapad T3 10.0 4G</t>
  </si>
  <si>
    <t>Huawei Mediapad T3 8.0 4G</t>
  </si>
  <si>
    <t>Huawei Y6 2017 4G</t>
  </si>
  <si>
    <t>Huawei Y7 4G</t>
  </si>
  <si>
    <t>iPad 32GB</t>
  </si>
  <si>
    <t>iPad Pro 12.9 256GB 4G</t>
  </si>
  <si>
    <t>iPhone 8 64GB 4G</t>
  </si>
  <si>
    <t>iPhone 8 256GB 4G</t>
  </si>
  <si>
    <t>iPhone 8 Plus 64GB 4G</t>
  </si>
  <si>
    <t>iPhone 8 Plus 256GB 4G</t>
  </si>
  <si>
    <t>iPhone SE 128GB 4G</t>
  </si>
  <si>
    <t>iPhone SE 32GB 4G</t>
  </si>
  <si>
    <t>LG G6 4G</t>
  </si>
  <si>
    <t>LG K10 2017 4G</t>
  </si>
  <si>
    <t>LG K8 2017 4G</t>
  </si>
  <si>
    <t>LG Q6 4G</t>
  </si>
  <si>
    <t>Microsoft Xbox One 500GB</t>
  </si>
  <si>
    <t>Motorola Moto E4 4G</t>
  </si>
  <si>
    <t>Motorola Moto G4 Play 4G</t>
  </si>
  <si>
    <t>Motorola Moto Z Play 4G</t>
  </si>
  <si>
    <t>Nintendo Switch Hw + juego Zelda</t>
  </si>
  <si>
    <t>Nokia 3 4G</t>
  </si>
  <si>
    <t>Orange gafas VR1</t>
  </si>
  <si>
    <t>Orange Gama 100</t>
  </si>
  <si>
    <t>Orange Gama 202</t>
  </si>
  <si>
    <t>Orange Gama 203</t>
  </si>
  <si>
    <t>Orange Gama 501</t>
  </si>
  <si>
    <t>Orange Gama 800</t>
  </si>
  <si>
    <t>Samsung DeX Station</t>
  </si>
  <si>
    <t>Samsung Galaxy J5 2017 4G</t>
  </si>
  <si>
    <t>Samsung Galaxy J7 2017 4G</t>
  </si>
  <si>
    <t>Samsung Galaxy Note 8 4G</t>
  </si>
  <si>
    <t>Samsung Gear Fit2</t>
  </si>
  <si>
    <t>Sony Xperia L1 4G</t>
  </si>
  <si>
    <t>Sony Xperia XA1 4G</t>
  </si>
  <si>
    <t>Sony Xperia XZ Premium 4G</t>
  </si>
  <si>
    <t>Xacom EasyGate</t>
  </si>
  <si>
    <t>Xacom Track Digital RDSI</t>
  </si>
  <si>
    <t>Nextivity Celfi Prime Dual Band</t>
  </si>
  <si>
    <t>Nextivity Celfi Pro Quad Band</t>
  </si>
  <si>
    <t>RAFAEL PIZARRO</t>
  </si>
  <si>
    <t>CONSULTOR31@MULTIVOZ.ES</t>
  </si>
  <si>
    <t>OXICOM</t>
  </si>
  <si>
    <t xml:space="preserve">LN Total + Fibra 50 Mb + 3 lineas moviles </t>
  </si>
  <si>
    <t>AM BUZONEO Y PUBLICIDAD</t>
  </si>
  <si>
    <t>B90013186</t>
  </si>
  <si>
    <t>HERNAN CORTES 21 BORMUJOS</t>
  </si>
  <si>
    <t>JAZZTEL</t>
  </si>
  <si>
    <t>LINEA BASICO</t>
  </si>
</sst>
</file>

<file path=xl/styles.xml><?xml version="1.0" encoding="utf-8"?>
<styleSheet xmlns="http://schemas.openxmlformats.org/spreadsheetml/2006/main">
  <numFmts count="8">
    <numFmt numFmtId="7" formatCode="#,##0.00\ &quot;€&quot;;\-#,##0.00\ &quot;€&quot;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#,##0\ [$€-1];[Red]\-#,##0\ [$€-1]"/>
    <numFmt numFmtId="167" formatCode="#,##0.00\ &quot;€&quot;"/>
    <numFmt numFmtId="168" formatCode="#,##0.0\ &quot;€&quot;"/>
    <numFmt numFmtId="169" formatCode="0.0"/>
    <numFmt numFmtId="170" formatCode="0;;;@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sz val="8"/>
      <color theme="0"/>
      <name val="Arial"/>
      <family val="2"/>
    </font>
    <font>
      <u/>
      <sz val="8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b/>
      <i/>
      <sz val="16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26"/>
      <color rgb="FFFF0000"/>
      <name val="Helvetica 45 Light"/>
      <family val="2"/>
    </font>
    <font>
      <b/>
      <sz val="19"/>
      <color rgb="FFFF0000"/>
      <name val="Helvetica 45 Light"/>
      <family val="2"/>
    </font>
    <font>
      <b/>
      <sz val="20"/>
      <color rgb="FFFF0000"/>
      <name val="Helvetica 45 Light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sz val="8"/>
      <color rgb="FFFF0000"/>
      <name val="Calibri"/>
      <family val="2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sz val="8"/>
      <color indexed="81"/>
      <name val="Tahoma"/>
      <family val="2"/>
    </font>
    <font>
      <b/>
      <sz val="26"/>
      <name val="Helvetica 45 Light"/>
      <family val="2"/>
    </font>
    <font>
      <b/>
      <sz val="19"/>
      <name val="Helvetica 45 Light"/>
      <family val="2"/>
    </font>
    <font>
      <b/>
      <sz val="11"/>
      <name val="Calibri"/>
      <family val="2"/>
      <scheme val="minor"/>
    </font>
    <font>
      <b/>
      <sz val="14"/>
      <name val="Helvetica 35 Thin"/>
      <family val="2"/>
    </font>
    <font>
      <b/>
      <sz val="22"/>
      <name val="Helvetica 45 Light"/>
      <family val="2"/>
    </font>
    <font>
      <b/>
      <sz val="18"/>
      <name val="Helvetica 45 Light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name val="Arial"/>
      <family val="2"/>
    </font>
    <font>
      <b/>
      <vertAlign val="superscript"/>
      <sz val="12"/>
      <name val="Arial"/>
      <family val="2"/>
    </font>
    <font>
      <b/>
      <sz val="15"/>
      <name val="Arial"/>
      <family val="2"/>
    </font>
    <font>
      <sz val="9"/>
      <color theme="1"/>
      <name val="Arial"/>
      <family val="2"/>
    </font>
    <font>
      <b/>
      <sz val="14"/>
      <name val="Calibri"/>
      <family val="2"/>
      <scheme val="minor"/>
    </font>
    <font>
      <b/>
      <u/>
      <sz val="12"/>
      <name val="Arial"/>
      <family val="2"/>
    </font>
    <font>
      <b/>
      <sz val="11"/>
      <name val="Arial"/>
      <family val="2"/>
    </font>
    <font>
      <sz val="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7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9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2" fillId="0" borderId="0" xfId="0" applyFont="1" applyProtection="1">
      <protection hidden="1"/>
    </xf>
    <xf numFmtId="0" fontId="2" fillId="3" borderId="0" xfId="0" applyFont="1" applyFill="1" applyProtection="1">
      <protection hidden="1"/>
    </xf>
    <xf numFmtId="0" fontId="2" fillId="0" borderId="0" xfId="0" applyFont="1" applyAlignment="1" applyProtection="1">
      <alignment vertical="top"/>
      <protection hidden="1"/>
    </xf>
    <xf numFmtId="0" fontId="2" fillId="0" borderId="0" xfId="0" applyFont="1" applyAlignment="1" applyProtection="1">
      <alignment wrapText="1"/>
      <protection hidden="1"/>
    </xf>
    <xf numFmtId="0" fontId="6" fillId="3" borderId="0" xfId="0" applyFont="1" applyFill="1" applyBorder="1" applyProtection="1">
      <protection hidden="1"/>
    </xf>
    <xf numFmtId="2" fontId="6" fillId="3" borderId="0" xfId="0" applyNumberFormat="1" applyFont="1" applyFill="1" applyBorder="1" applyProtection="1">
      <protection hidden="1"/>
    </xf>
    <xf numFmtId="0" fontId="7" fillId="3" borderId="0" xfId="0" applyFont="1" applyFill="1" applyBorder="1" applyAlignment="1" applyProtection="1">
      <alignment vertical="top" wrapText="1"/>
      <protection hidden="1"/>
    </xf>
    <xf numFmtId="0" fontId="6" fillId="3" borderId="0" xfId="0" applyFont="1" applyFill="1" applyBorder="1" applyAlignment="1" applyProtection="1">
      <alignment vertical="top"/>
      <protection hidden="1"/>
    </xf>
    <xf numFmtId="0" fontId="3" fillId="3" borderId="0" xfId="0" applyFont="1" applyFill="1" applyProtection="1">
      <protection hidden="1"/>
    </xf>
    <xf numFmtId="0" fontId="6" fillId="3" borderId="0" xfId="0" applyFont="1" applyFill="1" applyBorder="1" applyAlignment="1" applyProtection="1">
      <alignment horizontal="center" vertical="center"/>
      <protection hidden="1"/>
    </xf>
    <xf numFmtId="0" fontId="8" fillId="3" borderId="0" xfId="0" applyFont="1" applyFill="1" applyBorder="1" applyAlignment="1" applyProtection="1">
      <alignment horizontal="justify" vertical="top"/>
      <protection hidden="1"/>
    </xf>
    <xf numFmtId="0" fontId="10" fillId="0" borderId="0" xfId="0" applyFont="1" applyProtection="1">
      <protection hidden="1"/>
    </xf>
    <xf numFmtId="0" fontId="10" fillId="3" borderId="0" xfId="0" applyFont="1" applyFill="1" applyProtection="1">
      <protection hidden="1"/>
    </xf>
    <xf numFmtId="0" fontId="10" fillId="0" borderId="0" xfId="0" applyFont="1" applyAlignment="1" applyProtection="1">
      <alignment vertical="top"/>
      <protection hidden="1"/>
    </xf>
    <xf numFmtId="0" fontId="3" fillId="0" borderId="0" xfId="0" applyFont="1" applyProtection="1">
      <protection hidden="1"/>
    </xf>
    <xf numFmtId="0" fontId="6" fillId="0" borderId="0" xfId="0" applyFont="1" applyFill="1" applyBorder="1" applyProtection="1">
      <protection hidden="1"/>
    </xf>
    <xf numFmtId="0" fontId="6" fillId="0" borderId="0" xfId="0" applyFont="1" applyFill="1" applyBorder="1" applyAlignment="1" applyProtection="1">
      <alignment vertical="top"/>
      <protection hidden="1"/>
    </xf>
    <xf numFmtId="0" fontId="0" fillId="0" borderId="0" xfId="0" applyFont="1" applyProtection="1">
      <protection hidden="1"/>
    </xf>
    <xf numFmtId="0" fontId="0" fillId="3" borderId="0" xfId="0" applyFont="1" applyFill="1" applyProtection="1">
      <protection hidden="1"/>
    </xf>
    <xf numFmtId="0" fontId="0" fillId="0" borderId="0" xfId="0" applyFont="1" applyAlignment="1" applyProtection="1">
      <alignment vertical="top"/>
      <protection hidden="1"/>
    </xf>
    <xf numFmtId="0" fontId="11" fillId="0" borderId="0" xfId="0" applyFont="1" applyProtection="1">
      <protection hidden="1"/>
    </xf>
    <xf numFmtId="0" fontId="11" fillId="3" borderId="0" xfId="0" applyFont="1" applyFill="1" applyProtection="1">
      <protection hidden="1"/>
    </xf>
    <xf numFmtId="0" fontId="11" fillId="0" borderId="0" xfId="0" applyFont="1" applyAlignment="1" applyProtection="1">
      <alignment vertical="top"/>
      <protection hidden="1"/>
    </xf>
    <xf numFmtId="0" fontId="12" fillId="0" borderId="0" xfId="0" applyFont="1" applyProtection="1">
      <protection hidden="1"/>
    </xf>
    <xf numFmtId="0" fontId="13" fillId="3" borderId="0" xfId="0" applyFont="1" applyFill="1" applyBorder="1" applyProtection="1">
      <protection hidden="1"/>
    </xf>
    <xf numFmtId="0" fontId="12" fillId="0" borderId="0" xfId="0" applyFont="1" applyAlignment="1" applyProtection="1">
      <alignment horizontal="justify" vertical="top"/>
      <protection hidden="1"/>
    </xf>
    <xf numFmtId="0" fontId="12" fillId="0" borderId="0" xfId="0" applyFont="1" applyAlignment="1" applyProtection="1">
      <alignment vertical="top"/>
      <protection hidden="1"/>
    </xf>
    <xf numFmtId="0" fontId="13" fillId="3" borderId="0" xfId="0" applyFont="1" applyFill="1" applyBorder="1" applyAlignment="1" applyProtection="1">
      <alignment vertical="top"/>
      <protection hidden="1"/>
    </xf>
    <xf numFmtId="0" fontId="12" fillId="0" borderId="0" xfId="0" applyFont="1" applyAlignment="1" applyProtection="1">
      <alignment wrapText="1"/>
      <protection hidden="1"/>
    </xf>
    <xf numFmtId="166" fontId="13" fillId="3" borderId="0" xfId="0" applyNumberFormat="1" applyFont="1" applyFill="1" applyBorder="1" applyProtection="1"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166" fontId="13" fillId="3" borderId="0" xfId="0" applyNumberFormat="1" applyFont="1" applyFill="1" applyBorder="1" applyAlignment="1" applyProtection="1">
      <alignment vertical="center"/>
      <protection hidden="1"/>
    </xf>
    <xf numFmtId="0" fontId="23" fillId="3" borderId="0" xfId="0" applyFont="1" applyFill="1" applyBorder="1" applyAlignment="1" applyProtection="1">
      <alignment vertical="top" wrapText="1"/>
      <protection hidden="1"/>
    </xf>
    <xf numFmtId="0" fontId="12" fillId="3" borderId="0" xfId="0" applyFont="1" applyFill="1" applyProtection="1">
      <protection hidden="1"/>
    </xf>
    <xf numFmtId="0" fontId="21" fillId="0" borderId="0" xfId="0" applyFont="1"/>
    <xf numFmtId="0" fontId="12" fillId="0" borderId="0" xfId="0" applyFont="1"/>
    <xf numFmtId="167" fontId="12" fillId="0" borderId="0" xfId="0" applyNumberFormat="1" applyFont="1"/>
    <xf numFmtId="0" fontId="22" fillId="4" borderId="0" xfId="0" applyFont="1" applyFill="1" applyBorder="1" applyAlignment="1">
      <alignment horizontal="left" vertical="center"/>
    </xf>
    <xf numFmtId="168" fontId="12" fillId="0" borderId="0" xfId="0" applyNumberFormat="1" applyFont="1"/>
    <xf numFmtId="169" fontId="12" fillId="0" borderId="0" xfId="0" applyNumberFormat="1" applyFont="1"/>
    <xf numFmtId="0" fontId="3" fillId="0" borderId="0" xfId="0" applyFont="1"/>
    <xf numFmtId="0" fontId="4" fillId="3" borderId="20" xfId="4" applyFont="1" applyFill="1" applyBorder="1" applyAlignment="1">
      <alignment horizontal="center"/>
    </xf>
    <xf numFmtId="3" fontId="4" fillId="5" borderId="0" xfId="4" applyNumberFormat="1" applyFont="1" applyFill="1" applyBorder="1" applyAlignment="1">
      <alignment horizontal="center"/>
    </xf>
    <xf numFmtId="3" fontId="24" fillId="3" borderId="3" xfId="4" applyNumberFormat="1" applyFont="1" applyFill="1" applyBorder="1" applyAlignment="1">
      <alignment horizontal="center"/>
    </xf>
    <xf numFmtId="0" fontId="4" fillId="6" borderId="20" xfId="4" applyFont="1" applyFill="1" applyBorder="1" applyAlignment="1">
      <alignment horizontal="center"/>
    </xf>
    <xf numFmtId="3" fontId="4" fillId="6" borderId="0" xfId="4" applyNumberFormat="1" applyFont="1" applyFill="1" applyBorder="1" applyAlignment="1">
      <alignment horizontal="center"/>
    </xf>
    <xf numFmtId="3" fontId="24" fillId="3" borderId="5" xfId="4" applyNumberFormat="1" applyFont="1" applyFill="1" applyBorder="1" applyAlignment="1">
      <alignment horizontal="center"/>
    </xf>
    <xf numFmtId="3" fontId="4" fillId="3" borderId="0" xfId="4" applyNumberFormat="1" applyFont="1" applyFill="1" applyBorder="1" applyAlignment="1">
      <alignment horizontal="center"/>
    </xf>
    <xf numFmtId="0" fontId="25" fillId="6" borderId="20" xfId="4" applyFont="1" applyFill="1" applyBorder="1" applyAlignment="1">
      <alignment horizontal="center"/>
    </xf>
    <xf numFmtId="0" fontId="12" fillId="3" borderId="5" xfId="0" applyFont="1" applyFill="1" applyBorder="1"/>
    <xf numFmtId="0" fontId="25" fillId="3" borderId="20" xfId="4" applyFont="1" applyFill="1" applyBorder="1" applyAlignment="1">
      <alignment horizontal="center"/>
    </xf>
    <xf numFmtId="3" fontId="4" fillId="6" borderId="21" xfId="4" applyNumberFormat="1" applyFont="1" applyFill="1" applyBorder="1" applyAlignment="1">
      <alignment horizontal="center"/>
    </xf>
    <xf numFmtId="3" fontId="4" fillId="3" borderId="21" xfId="4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0" xfId="0" applyFont="1" applyFill="1" applyBorder="1"/>
    <xf numFmtId="0" fontId="0" fillId="0" borderId="22" xfId="0" applyBorder="1" applyAlignment="1">
      <alignment vertical="center" wrapText="1"/>
    </xf>
    <xf numFmtId="0" fontId="0" fillId="0" borderId="23" xfId="0" applyBorder="1"/>
    <xf numFmtId="0" fontId="12" fillId="3" borderId="11" xfId="0" applyFont="1" applyFill="1" applyBorder="1"/>
    <xf numFmtId="0" fontId="12" fillId="3" borderId="6" xfId="0" applyFont="1" applyFill="1" applyBorder="1"/>
    <xf numFmtId="0" fontId="12" fillId="3" borderId="12" xfId="0" applyFont="1" applyFill="1" applyBorder="1"/>
    <xf numFmtId="0" fontId="7" fillId="0" borderId="0" xfId="0" applyFont="1" applyFill="1" applyBorder="1" applyAlignment="1" applyProtection="1">
      <alignment vertical="top" wrapText="1"/>
      <protection hidden="1"/>
    </xf>
    <xf numFmtId="0" fontId="11" fillId="0" borderId="0" xfId="0" applyFont="1" applyFill="1" applyProtection="1">
      <protection hidden="1"/>
    </xf>
    <xf numFmtId="166" fontId="6" fillId="3" borderId="0" xfId="0" applyNumberFormat="1" applyFont="1" applyFill="1" applyBorder="1" applyProtection="1">
      <protection hidden="1"/>
    </xf>
    <xf numFmtId="0" fontId="6" fillId="3" borderId="0" xfId="0" applyFont="1" applyFill="1" applyBorder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horizontal="right" vertical="center"/>
      <protection hidden="1"/>
    </xf>
    <xf numFmtId="166" fontId="6" fillId="3" borderId="0" xfId="0" applyNumberFormat="1" applyFont="1" applyFill="1" applyBorder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Border="1" applyAlignment="1" applyProtection="1">
      <protection hidden="1"/>
    </xf>
    <xf numFmtId="167" fontId="6" fillId="3" borderId="0" xfId="0" applyNumberFormat="1" applyFont="1" applyFill="1" applyBorder="1" applyProtection="1">
      <protection hidden="1"/>
    </xf>
    <xf numFmtId="167" fontId="6" fillId="0" borderId="0" xfId="0" applyNumberFormat="1" applyFont="1" applyFill="1" applyBorder="1" applyProtection="1">
      <protection hidden="1"/>
    </xf>
    <xf numFmtId="0" fontId="3" fillId="0" borderId="0" xfId="0" applyFont="1" applyBorder="1" applyAlignment="1" applyProtection="1">
      <protection hidden="1"/>
    </xf>
    <xf numFmtId="0" fontId="3" fillId="0" borderId="0" xfId="0" applyFont="1" applyFill="1" applyProtection="1">
      <protection hidden="1"/>
    </xf>
    <xf numFmtId="0" fontId="18" fillId="3" borderId="0" xfId="0" applyFont="1" applyFill="1" applyAlignment="1" applyProtection="1">
      <alignment horizontal="left" indent="14"/>
      <protection hidden="1"/>
    </xf>
    <xf numFmtId="0" fontId="19" fillId="3" borderId="0" xfId="0" applyFont="1" applyFill="1" applyAlignment="1" applyProtection="1">
      <alignment vertical="center"/>
      <protection hidden="1"/>
    </xf>
    <xf numFmtId="0" fontId="20" fillId="3" borderId="0" xfId="0" applyFont="1" applyFill="1" applyAlignment="1" applyProtection="1">
      <alignment horizontal="left" vertical="center" indent="14"/>
      <protection hidden="1"/>
    </xf>
    <xf numFmtId="0" fontId="12" fillId="3" borderId="0" xfId="0" applyFont="1" applyFill="1" applyBorder="1" applyProtection="1">
      <protection hidden="1"/>
    </xf>
    <xf numFmtId="0" fontId="12" fillId="3" borderId="0" xfId="0" applyFont="1" applyFill="1" applyAlignment="1" applyProtection="1">
      <protection hidden="1"/>
    </xf>
    <xf numFmtId="0" fontId="16" fillId="3" borderId="0" xfId="0" applyFont="1" applyFill="1" applyProtection="1">
      <protection hidden="1"/>
    </xf>
    <xf numFmtId="0" fontId="12" fillId="3" borderId="0" xfId="0" applyFont="1" applyFill="1" applyAlignment="1" applyProtection="1">
      <alignment horizontal="center" vertical="center" wrapText="1"/>
      <protection hidden="1"/>
    </xf>
    <xf numFmtId="0" fontId="17" fillId="3" borderId="0" xfId="0" applyFont="1" applyFill="1" applyAlignment="1" applyProtection="1">
      <alignment horizontal="justify" vertical="top" wrapText="1"/>
      <protection hidden="1"/>
    </xf>
    <xf numFmtId="0" fontId="12" fillId="3" borderId="0" xfId="0" applyFont="1" applyFill="1" applyAlignment="1" applyProtection="1">
      <alignment horizontal="justify" vertical="top"/>
      <protection hidden="1"/>
    </xf>
    <xf numFmtId="0" fontId="29" fillId="3" borderId="1" xfId="0" applyFont="1" applyFill="1" applyBorder="1" applyAlignment="1" applyProtection="1">
      <alignment horizontal="center"/>
      <protection hidden="1"/>
    </xf>
    <xf numFmtId="0" fontId="2" fillId="0" borderId="4" xfId="0" applyFont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2" fillId="3" borderId="11" xfId="0" applyFont="1" applyFill="1" applyBorder="1" applyProtection="1">
      <protection hidden="1"/>
    </xf>
    <xf numFmtId="0" fontId="2" fillId="3" borderId="1" xfId="0" applyFont="1" applyFill="1" applyBorder="1" applyProtection="1">
      <protection hidden="1"/>
    </xf>
    <xf numFmtId="0" fontId="32" fillId="3" borderId="0" xfId="0" applyFont="1" applyFill="1" applyBorder="1" applyAlignment="1" applyProtection="1">
      <protection hidden="1"/>
    </xf>
    <xf numFmtId="0" fontId="32" fillId="3" borderId="19" xfId="0" applyFont="1" applyFill="1" applyBorder="1" applyAlignment="1" applyProtection="1">
      <protection hidden="1"/>
    </xf>
    <xf numFmtId="0" fontId="2" fillId="3" borderId="19" xfId="0" applyFont="1" applyFill="1" applyBorder="1" applyProtection="1"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0" xfId="0" applyFont="1" applyBorder="1" applyProtection="1">
      <protection hidden="1"/>
    </xf>
    <xf numFmtId="0" fontId="33" fillId="3" borderId="0" xfId="0" applyFont="1" applyFill="1" applyBorder="1" applyProtection="1">
      <protection hidden="1"/>
    </xf>
    <xf numFmtId="0" fontId="34" fillId="3" borderId="0" xfId="0" applyFont="1" applyFill="1" applyBorder="1" applyAlignment="1" applyProtection="1">
      <alignment horizontal="left" vertical="center"/>
      <protection hidden="1"/>
    </xf>
    <xf numFmtId="0" fontId="34" fillId="3" borderId="0" xfId="0" applyFont="1" applyFill="1" applyBorder="1" applyAlignment="1" applyProtection="1">
      <protection hidden="1"/>
    </xf>
    <xf numFmtId="0" fontId="35" fillId="3" borderId="2" xfId="0" applyFont="1" applyFill="1" applyBorder="1" applyAlignment="1" applyProtection="1">
      <alignment horizontal="left"/>
      <protection hidden="1"/>
    </xf>
    <xf numFmtId="0" fontId="35" fillId="3" borderId="2" xfId="0" applyFont="1" applyFill="1" applyBorder="1" applyProtection="1">
      <protection hidden="1"/>
    </xf>
    <xf numFmtId="0" fontId="36" fillId="3" borderId="0" xfId="0" applyFont="1" applyFill="1" applyAlignment="1" applyProtection="1">
      <protection hidden="1"/>
    </xf>
    <xf numFmtId="0" fontId="35" fillId="3" borderId="0" xfId="0" applyFont="1" applyFill="1" applyBorder="1" applyAlignment="1" applyProtection="1">
      <alignment horizontal="left"/>
      <protection hidden="1"/>
    </xf>
    <xf numFmtId="0" fontId="35" fillId="3" borderId="0" xfId="0" applyFont="1" applyFill="1" applyBorder="1" applyProtection="1">
      <protection hidden="1"/>
    </xf>
    <xf numFmtId="0" fontId="35" fillId="0" borderId="0" xfId="0" applyFont="1" applyBorder="1" applyProtection="1">
      <protection hidden="1"/>
    </xf>
    <xf numFmtId="0" fontId="35" fillId="3" borderId="0" xfId="0" applyFont="1" applyFill="1" applyProtection="1">
      <protection hidden="1"/>
    </xf>
    <xf numFmtId="0" fontId="35" fillId="3" borderId="6" xfId="0" applyFont="1" applyFill="1" applyBorder="1" applyProtection="1">
      <protection hidden="1"/>
    </xf>
    <xf numFmtId="0" fontId="35" fillId="0" borderId="0" xfId="0" applyFont="1" applyProtection="1">
      <protection hidden="1"/>
    </xf>
    <xf numFmtId="0" fontId="36" fillId="3" borderId="3" xfId="0" applyFont="1" applyFill="1" applyBorder="1" applyAlignment="1" applyProtection="1">
      <alignment horizontal="center"/>
      <protection hidden="1"/>
    </xf>
    <xf numFmtId="0" fontId="35" fillId="3" borderId="5" xfId="0" applyFont="1" applyFill="1" applyBorder="1" applyProtection="1">
      <protection hidden="1"/>
    </xf>
    <xf numFmtId="0" fontId="35" fillId="3" borderId="12" xfId="0" applyFont="1" applyFill="1" applyBorder="1" applyProtection="1">
      <protection hidden="1"/>
    </xf>
    <xf numFmtId="0" fontId="35" fillId="3" borderId="3" xfId="0" applyFont="1" applyFill="1" applyBorder="1" applyProtection="1">
      <protection hidden="1"/>
    </xf>
    <xf numFmtId="0" fontId="35" fillId="0" borderId="5" xfId="0" applyFont="1" applyBorder="1" applyProtection="1">
      <protection hidden="1"/>
    </xf>
    <xf numFmtId="0" fontId="36" fillId="3" borderId="0" xfId="0" applyFont="1" applyFill="1" applyProtection="1">
      <protection hidden="1"/>
    </xf>
    <xf numFmtId="167" fontId="35" fillId="3" borderId="0" xfId="0" applyNumberFormat="1" applyFont="1" applyFill="1" applyBorder="1" applyAlignment="1" applyProtection="1">
      <protection hidden="1"/>
    </xf>
    <xf numFmtId="0" fontId="36" fillId="3" borderId="0" xfId="0" applyFont="1" applyFill="1" applyBorder="1" applyProtection="1">
      <protection hidden="1"/>
    </xf>
    <xf numFmtId="0" fontId="35" fillId="3" borderId="0" xfId="0" applyFont="1" applyFill="1" applyBorder="1" applyAlignment="1" applyProtection="1">
      <protection hidden="1"/>
    </xf>
    <xf numFmtId="0" fontId="35" fillId="3" borderId="0" xfId="0" applyFont="1" applyFill="1" applyBorder="1" applyAlignment="1" applyProtection="1">
      <alignment vertical="top"/>
      <protection hidden="1"/>
    </xf>
    <xf numFmtId="167" fontId="35" fillId="0" borderId="0" xfId="0" applyNumberFormat="1" applyFont="1" applyProtection="1">
      <protection hidden="1"/>
    </xf>
    <xf numFmtId="167" fontId="35" fillId="3" borderId="0" xfId="0" applyNumberFormat="1" applyFont="1" applyFill="1" applyBorder="1" applyProtection="1">
      <protection hidden="1"/>
    </xf>
    <xf numFmtId="167" fontId="35" fillId="3" borderId="0" xfId="0" applyNumberFormat="1" applyFont="1" applyFill="1" applyProtection="1">
      <protection hidden="1"/>
    </xf>
    <xf numFmtId="0" fontId="36" fillId="3" borderId="0" xfId="0" applyFont="1" applyFill="1" applyAlignment="1" applyProtection="1">
      <alignment vertical="center"/>
      <protection hidden="1"/>
    </xf>
    <xf numFmtId="0" fontId="36" fillId="3" borderId="0" xfId="0" applyFont="1" applyFill="1" applyBorder="1" applyAlignment="1" applyProtection="1">
      <alignment vertical="center"/>
      <protection hidden="1"/>
    </xf>
    <xf numFmtId="167" fontId="36" fillId="3" borderId="0" xfId="0" applyNumberFormat="1" applyFont="1" applyFill="1" applyBorder="1" applyAlignment="1" applyProtection="1">
      <alignment horizontal="center" vertical="center"/>
      <protection hidden="1"/>
    </xf>
    <xf numFmtId="0" fontId="35" fillId="3" borderId="19" xfId="0" applyFont="1" applyFill="1" applyBorder="1" applyProtection="1">
      <protection hidden="1"/>
    </xf>
    <xf numFmtId="0" fontId="36" fillId="3" borderId="0" xfId="0" applyFont="1" applyFill="1" applyBorder="1" applyAlignment="1" applyProtection="1">
      <protection hidden="1"/>
    </xf>
    <xf numFmtId="0" fontId="35" fillId="3" borderId="0" xfId="0" applyFont="1" applyFill="1" applyBorder="1" applyAlignment="1" applyProtection="1">
      <alignment vertical="center" wrapText="1"/>
      <protection hidden="1"/>
    </xf>
    <xf numFmtId="0" fontId="35" fillId="3" borderId="0" xfId="0" applyFont="1" applyFill="1" applyAlignment="1" applyProtection="1">
      <protection hidden="1"/>
    </xf>
    <xf numFmtId="0" fontId="35" fillId="3" borderId="0" xfId="0" applyFont="1" applyFill="1" applyBorder="1" applyAlignment="1" applyProtection="1">
      <alignment horizontal="center" vertical="center" wrapText="1"/>
      <protection hidden="1"/>
    </xf>
    <xf numFmtId="0" fontId="36" fillId="3" borderId="0" xfId="0" applyFont="1" applyFill="1" applyBorder="1" applyAlignment="1" applyProtection="1">
      <alignment horizontal="center" wrapText="1"/>
      <protection hidden="1"/>
    </xf>
    <xf numFmtId="0" fontId="35" fillId="3" borderId="0" xfId="0" applyFont="1" applyFill="1" applyBorder="1" applyAlignment="1" applyProtection="1">
      <alignment horizontal="left" indent="1"/>
      <protection hidden="1"/>
    </xf>
    <xf numFmtId="0" fontId="36" fillId="3" borderId="6" xfId="0" applyFont="1" applyFill="1" applyBorder="1" applyAlignment="1" applyProtection="1">
      <protection hidden="1"/>
    </xf>
    <xf numFmtId="0" fontId="36" fillId="3" borderId="6" xfId="0" applyFont="1" applyFill="1" applyBorder="1" applyAlignment="1" applyProtection="1">
      <alignment horizontal="left"/>
      <protection hidden="1"/>
    </xf>
    <xf numFmtId="0" fontId="36" fillId="3" borderId="2" xfId="0" applyFont="1" applyFill="1" applyBorder="1" applyAlignment="1" applyProtection="1">
      <alignment horizontal="left"/>
      <protection hidden="1"/>
    </xf>
    <xf numFmtId="0" fontId="36" fillId="3" borderId="3" xfId="0" applyFont="1" applyFill="1" applyBorder="1" applyAlignment="1" applyProtection="1">
      <alignment horizontal="left"/>
      <protection hidden="1"/>
    </xf>
    <xf numFmtId="0" fontId="36" fillId="3" borderId="0" xfId="0" applyFont="1" applyFill="1" applyBorder="1" applyAlignment="1" applyProtection="1">
      <alignment horizontal="left"/>
      <protection locked="0" hidden="1"/>
    </xf>
    <xf numFmtId="0" fontId="36" fillId="3" borderId="6" xfId="0" applyFont="1" applyFill="1" applyBorder="1" applyAlignment="1" applyProtection="1">
      <alignment horizontal="left"/>
      <protection locked="0" hidden="1"/>
    </xf>
    <xf numFmtId="0" fontId="41" fillId="3" borderId="0" xfId="0" applyFont="1" applyFill="1" applyBorder="1" applyProtection="1">
      <protection hidden="1"/>
    </xf>
    <xf numFmtId="0" fontId="36" fillId="3" borderId="2" xfId="0" applyFont="1" applyFill="1" applyBorder="1" applyProtection="1">
      <protection hidden="1"/>
    </xf>
    <xf numFmtId="0" fontId="44" fillId="3" borderId="0" xfId="0" applyFont="1" applyFill="1" applyProtection="1">
      <protection hidden="1"/>
    </xf>
    <xf numFmtId="0" fontId="44" fillId="3" borderId="0" xfId="0" applyFont="1" applyFill="1" applyBorder="1" applyAlignment="1" applyProtection="1">
      <protection hidden="1"/>
    </xf>
    <xf numFmtId="167" fontId="35" fillId="3" borderId="0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right"/>
      <protection hidden="1"/>
    </xf>
    <xf numFmtId="167" fontId="35" fillId="3" borderId="6" xfId="0" applyNumberFormat="1" applyFont="1" applyFill="1" applyBorder="1" applyAlignment="1" applyProtection="1">
      <alignment horizontal="center"/>
      <protection hidden="1"/>
    </xf>
    <xf numFmtId="0" fontId="36" fillId="3" borderId="7" xfId="0" applyFont="1" applyFill="1" applyBorder="1" applyAlignment="1" applyProtection="1">
      <alignment horizontal="left"/>
      <protection hidden="1"/>
    </xf>
    <xf numFmtId="0" fontId="36" fillId="3" borderId="10" xfId="0" applyFont="1" applyFill="1" applyBorder="1" applyAlignment="1" applyProtection="1">
      <alignment horizontal="left"/>
      <protection hidden="1"/>
    </xf>
    <xf numFmtId="0" fontId="36" fillId="3" borderId="0" xfId="0" applyFont="1" applyFill="1" applyBorder="1" applyAlignment="1" applyProtection="1">
      <alignment horizontal="left"/>
      <protection hidden="1"/>
    </xf>
    <xf numFmtId="0" fontId="35" fillId="3" borderId="0" xfId="0" applyFont="1" applyFill="1" applyAlignment="1" applyProtection="1">
      <alignment horizontal="left"/>
      <protection hidden="1"/>
    </xf>
    <xf numFmtId="0" fontId="35" fillId="3" borderId="6" xfId="0" applyFont="1" applyFill="1" applyBorder="1" applyAlignment="1" applyProtection="1">
      <alignment horizontal="center"/>
      <protection hidden="1"/>
    </xf>
    <xf numFmtId="167" fontId="36" fillId="3" borderId="0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Alignment="1" applyProtection="1">
      <alignment horizontal="center"/>
      <protection hidden="1"/>
    </xf>
    <xf numFmtId="0" fontId="36" fillId="3" borderId="0" xfId="0" applyFont="1" applyFill="1" applyAlignment="1" applyProtection="1">
      <alignment horizontal="right" vertical="center"/>
      <protection hidden="1"/>
    </xf>
    <xf numFmtId="0" fontId="6" fillId="3" borderId="0" xfId="0" applyFont="1" applyFill="1" applyBorder="1" applyAlignment="1" applyProtection="1">
      <alignment horizontal="center"/>
      <protection hidden="1"/>
    </xf>
    <xf numFmtId="3" fontId="35" fillId="3" borderId="0" xfId="0" applyNumberFormat="1" applyFont="1" applyFill="1" applyBorder="1" applyAlignment="1" applyProtection="1">
      <alignment horizontal="center"/>
      <protection locked="0" hidden="1"/>
    </xf>
    <xf numFmtId="3" fontId="35" fillId="3" borderId="6" xfId="0" applyNumberFormat="1" applyFont="1" applyFill="1" applyBorder="1" applyAlignment="1" applyProtection="1">
      <alignment horizontal="center"/>
      <protection locked="0"/>
    </xf>
    <xf numFmtId="0" fontId="35" fillId="3" borderId="0" xfId="0" applyFont="1" applyFill="1" applyBorder="1" applyProtection="1">
      <protection locked="0"/>
    </xf>
    <xf numFmtId="0" fontId="35" fillId="3" borderId="2" xfId="0" applyFont="1" applyFill="1" applyBorder="1" applyAlignment="1" applyProtection="1">
      <alignment horizontal="center"/>
      <protection locked="0"/>
    </xf>
    <xf numFmtId="0" fontId="30" fillId="3" borderId="0" xfId="0" applyFont="1" applyFill="1" applyAlignment="1" applyProtection="1">
      <alignment horizontal="right" vertical="center"/>
      <protection hidden="1"/>
    </xf>
    <xf numFmtId="0" fontId="35" fillId="3" borderId="0" xfId="0" applyFont="1" applyFill="1" applyBorder="1" applyAlignment="1" applyProtection="1">
      <alignment horizontal="left" vertical="top" wrapText="1" indent="1" shrinkToFit="1"/>
      <protection locked="0"/>
    </xf>
    <xf numFmtId="167" fontId="43" fillId="3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/>
    <xf numFmtId="0" fontId="22" fillId="0" borderId="0" xfId="0" applyFont="1" applyFill="1" applyBorder="1" applyAlignment="1">
      <alignment horizontal="left" vertical="center"/>
    </xf>
    <xf numFmtId="0" fontId="46" fillId="3" borderId="0" xfId="0" applyFont="1" applyFill="1" applyBorder="1" applyProtection="1">
      <protection hidden="1"/>
    </xf>
    <xf numFmtId="0" fontId="47" fillId="3" borderId="0" xfId="0" applyFont="1" applyFill="1" applyBorder="1" applyProtection="1">
      <protection hidden="1"/>
    </xf>
    <xf numFmtId="0" fontId="48" fillId="3" borderId="0" xfId="0" applyFont="1" applyFill="1" applyBorder="1" applyProtection="1">
      <protection hidden="1"/>
    </xf>
    <xf numFmtId="2" fontId="51" fillId="3" borderId="0" xfId="0" applyNumberFormat="1" applyFont="1" applyFill="1" applyBorder="1" applyProtection="1">
      <protection hidden="1"/>
    </xf>
    <xf numFmtId="0" fontId="27" fillId="3" borderId="0" xfId="0" applyFont="1" applyFill="1" applyAlignment="1" applyProtection="1">
      <alignment horizontal="center"/>
      <protection hidden="1"/>
    </xf>
    <xf numFmtId="0" fontId="28" fillId="3" borderId="0" xfId="0" applyFont="1" applyFill="1" applyAlignment="1" applyProtection="1">
      <alignment horizontal="center" vertical="center"/>
      <protection hidden="1"/>
    </xf>
    <xf numFmtId="167" fontId="39" fillId="3" borderId="0" xfId="0" applyNumberFormat="1" applyFont="1" applyFill="1" applyBorder="1" applyAlignment="1" applyProtection="1">
      <alignment horizontal="center" vertical="center"/>
      <protection hidden="1"/>
    </xf>
    <xf numFmtId="0" fontId="36" fillId="3" borderId="0" xfId="0" applyFont="1" applyFill="1" applyBorder="1" applyAlignment="1" applyProtection="1">
      <alignment horizontal="center"/>
      <protection hidden="1"/>
    </xf>
    <xf numFmtId="0" fontId="36" fillId="3" borderId="0" xfId="0" applyFont="1" applyFill="1" applyAlignment="1" applyProtection="1">
      <alignment horizontal="left"/>
      <protection hidden="1"/>
    </xf>
    <xf numFmtId="167" fontId="41" fillId="3" borderId="9" xfId="0" applyNumberFormat="1" applyFont="1" applyFill="1" applyBorder="1" applyAlignment="1" applyProtection="1">
      <alignment horizontal="center"/>
      <protection hidden="1"/>
    </xf>
    <xf numFmtId="0" fontId="41" fillId="3" borderId="7" xfId="0" applyFont="1" applyFill="1" applyBorder="1" applyAlignment="1" applyProtection="1">
      <alignment horizontal="center"/>
      <protection hidden="1"/>
    </xf>
    <xf numFmtId="0" fontId="41" fillId="3" borderId="10" xfId="0" applyFont="1" applyFill="1" applyBorder="1" applyAlignment="1" applyProtection="1">
      <alignment horizontal="center"/>
      <protection hidden="1"/>
    </xf>
    <xf numFmtId="0" fontId="35" fillId="3" borderId="2" xfId="0" applyFont="1" applyFill="1" applyBorder="1" applyAlignment="1" applyProtection="1">
      <alignment horizontal="center"/>
      <protection locked="0"/>
    </xf>
    <xf numFmtId="3" fontId="35" fillId="3" borderId="7" xfId="0" applyNumberFormat="1" applyFont="1" applyFill="1" applyBorder="1" applyAlignment="1" applyProtection="1">
      <alignment horizontal="center"/>
      <protection locked="0" hidden="1"/>
    </xf>
    <xf numFmtId="167" fontId="35" fillId="3" borderId="0" xfId="0" applyNumberFormat="1" applyFont="1" applyFill="1" applyBorder="1" applyAlignment="1" applyProtection="1">
      <alignment horizontal="center"/>
      <protection hidden="1"/>
    </xf>
    <xf numFmtId="167" fontId="38" fillId="7" borderId="7" xfId="0" applyNumberFormat="1" applyFont="1" applyFill="1" applyBorder="1" applyAlignment="1" applyProtection="1">
      <alignment horizontal="center"/>
      <protection hidden="1"/>
    </xf>
    <xf numFmtId="167" fontId="38" fillId="7" borderId="6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right"/>
      <protection hidden="1"/>
    </xf>
    <xf numFmtId="167" fontId="35" fillId="3" borderId="6" xfId="0" applyNumberFormat="1" applyFont="1" applyFill="1" applyBorder="1" applyAlignment="1" applyProtection="1">
      <alignment horizontal="center"/>
      <protection locked="0"/>
    </xf>
    <xf numFmtId="167" fontId="35" fillId="3" borderId="0" xfId="0" applyNumberFormat="1" applyFont="1" applyFill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center"/>
      <protection hidden="1"/>
    </xf>
    <xf numFmtId="165" fontId="36" fillId="3" borderId="0" xfId="1" applyFont="1" applyFill="1" applyBorder="1" applyAlignment="1" applyProtection="1">
      <alignment horizontal="center" vertical="top"/>
      <protection hidden="1"/>
    </xf>
    <xf numFmtId="167" fontId="35" fillId="3" borderId="6" xfId="0" applyNumberFormat="1" applyFont="1" applyFill="1" applyBorder="1" applyAlignment="1" applyProtection="1">
      <alignment horizontal="center"/>
      <protection hidden="1"/>
    </xf>
    <xf numFmtId="167" fontId="41" fillId="3" borderId="7" xfId="0" applyNumberFormat="1" applyFont="1" applyFill="1" applyBorder="1" applyAlignment="1" applyProtection="1">
      <alignment horizontal="center"/>
      <protection hidden="1"/>
    </xf>
    <xf numFmtId="167" fontId="41" fillId="3" borderId="10" xfId="0" applyNumberFormat="1" applyFont="1" applyFill="1" applyBorder="1" applyAlignment="1" applyProtection="1">
      <alignment horizontal="center"/>
      <protection hidden="1"/>
    </xf>
    <xf numFmtId="0" fontId="35" fillId="3" borderId="6" xfId="0" applyFont="1" applyFill="1" applyBorder="1" applyAlignment="1" applyProtection="1">
      <alignment horizontal="left"/>
      <protection hidden="1"/>
    </xf>
    <xf numFmtId="0" fontId="36" fillId="3" borderId="7" xfId="0" applyFont="1" applyFill="1" applyBorder="1" applyAlignment="1" applyProtection="1">
      <alignment horizontal="left"/>
      <protection hidden="1"/>
    </xf>
    <xf numFmtId="0" fontId="36" fillId="3" borderId="10" xfId="0" applyFont="1" applyFill="1" applyBorder="1" applyAlignment="1" applyProtection="1">
      <alignment horizontal="left"/>
      <protection hidden="1"/>
    </xf>
    <xf numFmtId="0" fontId="35" fillId="2" borderId="8" xfId="0" applyFont="1" applyFill="1" applyBorder="1" applyAlignment="1" applyProtection="1">
      <alignment horizontal="center"/>
      <protection locked="0"/>
    </xf>
    <xf numFmtId="0" fontId="42" fillId="7" borderId="6" xfId="0" applyFont="1" applyFill="1" applyBorder="1" applyAlignment="1" applyProtection="1">
      <alignment horizontal="left"/>
      <protection locked="0"/>
    </xf>
    <xf numFmtId="0" fontId="38" fillId="7" borderId="0" xfId="0" applyFont="1" applyFill="1" applyBorder="1" applyAlignment="1" applyProtection="1">
      <alignment horizontal="center"/>
      <protection locked="0"/>
    </xf>
    <xf numFmtId="0" fontId="38" fillId="7" borderId="6" xfId="0" applyFont="1" applyFill="1" applyBorder="1" applyAlignment="1" applyProtection="1">
      <alignment horizontal="center"/>
      <protection locked="0"/>
    </xf>
    <xf numFmtId="167" fontId="35" fillId="2" borderId="0" xfId="0" applyNumberFormat="1" applyFont="1" applyFill="1" applyBorder="1" applyAlignment="1" applyProtection="1">
      <alignment horizontal="center"/>
      <protection hidden="1"/>
    </xf>
    <xf numFmtId="3" fontId="35" fillId="3" borderId="6" xfId="0" applyNumberFormat="1" applyFont="1" applyFill="1" applyBorder="1" applyAlignment="1" applyProtection="1">
      <alignment horizontal="center"/>
      <protection locked="0"/>
    </xf>
    <xf numFmtId="0" fontId="35" fillId="3" borderId="7" xfId="0" applyFont="1" applyFill="1" applyBorder="1" applyAlignment="1" applyProtection="1">
      <alignment horizontal="center"/>
      <protection locked="0"/>
    </xf>
    <xf numFmtId="167" fontId="35" fillId="2" borderId="9" xfId="0" applyNumberFormat="1" applyFont="1" applyFill="1" applyBorder="1" applyAlignment="1" applyProtection="1">
      <alignment horizontal="center"/>
      <protection locked="0"/>
    </xf>
    <xf numFmtId="167" fontId="35" fillId="2" borderId="7" xfId="0" applyNumberFormat="1" applyFont="1" applyFill="1" applyBorder="1" applyAlignment="1" applyProtection="1">
      <alignment horizontal="center"/>
      <protection locked="0"/>
    </xf>
    <xf numFmtId="167" fontId="35" fillId="2" borderId="10" xfId="0" applyNumberFormat="1" applyFont="1" applyFill="1" applyBorder="1" applyAlignment="1" applyProtection="1">
      <alignment horizontal="center"/>
      <protection locked="0"/>
    </xf>
    <xf numFmtId="167" fontId="35" fillId="2" borderId="8" xfId="0" applyNumberFormat="1" applyFont="1" applyFill="1" applyBorder="1" applyAlignment="1" applyProtection="1">
      <alignment horizontal="center"/>
      <protection locked="0"/>
    </xf>
    <xf numFmtId="165" fontId="35" fillId="3" borderId="0" xfId="1" applyFont="1" applyFill="1" applyBorder="1" applyAlignment="1" applyProtection="1">
      <alignment horizontal="center" vertical="top"/>
      <protection hidden="1"/>
    </xf>
    <xf numFmtId="167" fontId="43" fillId="3" borderId="13" xfId="0" applyNumberFormat="1" applyFont="1" applyFill="1" applyBorder="1" applyAlignment="1" applyProtection="1">
      <alignment horizontal="center" vertical="center"/>
      <protection hidden="1"/>
    </xf>
    <xf numFmtId="167" fontId="43" fillId="3" borderId="14" xfId="0" applyNumberFormat="1" applyFont="1" applyFill="1" applyBorder="1" applyAlignment="1" applyProtection="1">
      <alignment horizontal="center" vertical="center"/>
      <protection hidden="1"/>
    </xf>
    <xf numFmtId="167" fontId="43" fillId="3" borderId="15" xfId="0" applyNumberFormat="1" applyFont="1" applyFill="1" applyBorder="1" applyAlignment="1" applyProtection="1">
      <alignment horizontal="center" vertical="center"/>
      <protection hidden="1"/>
    </xf>
    <xf numFmtId="167" fontId="43" fillId="3" borderId="16" xfId="0" applyNumberFormat="1" applyFont="1" applyFill="1" applyBorder="1" applyAlignment="1" applyProtection="1">
      <alignment horizontal="center" vertical="center"/>
      <protection hidden="1"/>
    </xf>
    <xf numFmtId="167" fontId="43" fillId="3" borderId="17" xfId="0" applyNumberFormat="1" applyFont="1" applyFill="1" applyBorder="1" applyAlignment="1" applyProtection="1">
      <alignment horizontal="center" vertical="center"/>
      <protection hidden="1"/>
    </xf>
    <xf numFmtId="167" fontId="43" fillId="3" borderId="18" xfId="0" applyNumberFormat="1" applyFont="1" applyFill="1" applyBorder="1" applyAlignment="1" applyProtection="1">
      <alignment horizontal="center" vertical="center"/>
      <protection hidden="1"/>
    </xf>
    <xf numFmtId="0" fontId="35" fillId="0" borderId="6" xfId="0" applyFont="1" applyBorder="1" applyAlignment="1" applyProtection="1">
      <alignment horizontal="center"/>
      <protection hidden="1"/>
    </xf>
    <xf numFmtId="0" fontId="36" fillId="3" borderId="6" xfId="0" applyFont="1" applyFill="1" applyBorder="1" applyAlignment="1" applyProtection="1">
      <alignment horizontal="center"/>
      <protection hidden="1"/>
    </xf>
    <xf numFmtId="167" fontId="36" fillId="3" borderId="6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left"/>
      <protection hidden="1"/>
    </xf>
    <xf numFmtId="0" fontId="37" fillId="7" borderId="6" xfId="0" applyFont="1" applyFill="1" applyBorder="1" applyAlignment="1" applyProtection="1">
      <alignment horizontal="left"/>
      <protection locked="0"/>
    </xf>
    <xf numFmtId="0" fontId="35" fillId="3" borderId="9" xfId="0" applyFont="1" applyFill="1" applyBorder="1" applyAlignment="1" applyProtection="1">
      <alignment horizontal="center"/>
      <protection hidden="1"/>
    </xf>
    <xf numFmtId="0" fontId="35" fillId="3" borderId="7" xfId="0" applyFont="1" applyFill="1" applyBorder="1" applyAlignment="1" applyProtection="1">
      <alignment horizontal="center"/>
      <protection hidden="1"/>
    </xf>
    <xf numFmtId="0" fontId="35" fillId="3" borderId="10" xfId="0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35" fillId="3" borderId="11" xfId="0" applyFont="1" applyFill="1" applyBorder="1" applyAlignment="1" applyProtection="1">
      <alignment horizontal="center"/>
      <protection hidden="1"/>
    </xf>
    <xf numFmtId="0" fontId="35" fillId="3" borderId="6" xfId="0" applyFont="1" applyFill="1" applyBorder="1" applyAlignment="1" applyProtection="1">
      <alignment horizontal="center"/>
      <protection hidden="1"/>
    </xf>
    <xf numFmtId="0" fontId="35" fillId="3" borderId="12" xfId="0" applyFont="1" applyFill="1" applyBorder="1" applyAlignment="1" applyProtection="1">
      <alignment horizontal="center"/>
      <protection hidden="1"/>
    </xf>
    <xf numFmtId="7" fontId="36" fillId="3" borderId="0" xfId="1" applyNumberFormat="1" applyFont="1" applyFill="1" applyBorder="1" applyAlignment="1" applyProtection="1">
      <alignment horizontal="center" vertical="center"/>
      <protection hidden="1"/>
    </xf>
    <xf numFmtId="0" fontId="30" fillId="3" borderId="0" xfId="0" applyFont="1" applyFill="1" applyAlignment="1" applyProtection="1">
      <alignment horizontal="righ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0" fontId="31" fillId="3" borderId="19" xfId="0" applyFont="1" applyFill="1" applyBorder="1" applyAlignment="1" applyProtection="1">
      <alignment horizontal="left" vertical="center"/>
      <protection hidden="1"/>
    </xf>
    <xf numFmtId="167" fontId="36" fillId="3" borderId="0" xfId="0" applyNumberFormat="1" applyFont="1" applyFill="1" applyBorder="1" applyAlignment="1" applyProtection="1">
      <alignment horizontal="center"/>
      <protection hidden="1"/>
    </xf>
    <xf numFmtId="0" fontId="35" fillId="3" borderId="2" xfId="0" applyFont="1" applyFill="1" applyBorder="1" applyAlignment="1" applyProtection="1">
      <alignment horizontal="center"/>
      <protection hidden="1"/>
    </xf>
    <xf numFmtId="14" fontId="35" fillId="3" borderId="6" xfId="0" applyNumberFormat="1" applyFont="1" applyFill="1" applyBorder="1" applyAlignment="1" applyProtection="1">
      <alignment horizontal="center"/>
      <protection locked="0"/>
    </xf>
    <xf numFmtId="0" fontId="35" fillId="3" borderId="0" xfId="0" applyFont="1" applyFill="1" applyBorder="1" applyAlignment="1" applyProtection="1">
      <alignment horizontal="left" vertical="top" wrapText="1" indent="1" shrinkToFit="1"/>
      <protection locked="0"/>
    </xf>
    <xf numFmtId="0" fontId="35" fillId="3" borderId="0" xfId="0" applyFont="1" applyFill="1" applyBorder="1" applyAlignment="1" applyProtection="1">
      <alignment horizontal="center"/>
      <protection hidden="1"/>
    </xf>
    <xf numFmtId="170" fontId="35" fillId="3" borderId="24" xfId="0" applyNumberFormat="1" applyFont="1" applyFill="1" applyBorder="1" applyAlignment="1" applyProtection="1">
      <alignment horizontal="center"/>
      <protection hidden="1"/>
    </xf>
    <xf numFmtId="0" fontId="37" fillId="7" borderId="2" xfId="0" applyFont="1" applyFill="1" applyBorder="1" applyAlignment="1" applyProtection="1">
      <alignment horizontal="center"/>
      <protection locked="0"/>
    </xf>
    <xf numFmtId="0" fontId="42" fillId="7" borderId="2" xfId="0" applyFont="1" applyFill="1" applyBorder="1" applyAlignment="1" applyProtection="1">
      <alignment horizontal="left"/>
      <protection locked="0"/>
    </xf>
    <xf numFmtId="0" fontId="36" fillId="3" borderId="0" xfId="0" applyFont="1" applyFill="1" applyAlignment="1" applyProtection="1">
      <alignment horizontal="right" vertical="center"/>
      <protection hidden="1"/>
    </xf>
    <xf numFmtId="0" fontId="35" fillId="3" borderId="1" xfId="0" applyFont="1" applyFill="1" applyBorder="1" applyAlignment="1" applyProtection="1">
      <alignment horizontal="center"/>
      <protection hidden="1"/>
    </xf>
    <xf numFmtId="0" fontId="35" fillId="3" borderId="3" xfId="0" applyFont="1" applyFill="1" applyBorder="1" applyAlignment="1" applyProtection="1">
      <alignment horizontal="center"/>
      <protection hidden="1"/>
    </xf>
    <xf numFmtId="0" fontId="35" fillId="7" borderId="6" xfId="0" applyFont="1" applyFill="1" applyBorder="1" applyAlignment="1" applyProtection="1">
      <alignment horizontal="center"/>
      <protection locked="0"/>
    </xf>
    <xf numFmtId="14" fontId="35" fillId="7" borderId="6" xfId="2" applyNumberFormat="1" applyFont="1" applyFill="1" applyBorder="1" applyAlignment="1" applyProtection="1">
      <alignment horizontal="center"/>
      <protection locked="0"/>
    </xf>
    <xf numFmtId="0" fontId="36" fillId="3" borderId="2" xfId="0" applyFont="1" applyFill="1" applyBorder="1" applyAlignment="1" applyProtection="1">
      <alignment horizontal="left" vertical="top"/>
      <protection hidden="1"/>
    </xf>
    <xf numFmtId="0" fontId="36" fillId="3" borderId="0" xfId="0" applyFont="1" applyFill="1" applyBorder="1" applyAlignment="1" applyProtection="1">
      <alignment horizontal="left"/>
      <protection hidden="1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167" fontId="38" fillId="7" borderId="2" xfId="0" applyNumberFormat="1" applyFont="1" applyFill="1" applyBorder="1" applyAlignment="1" applyProtection="1">
      <alignment horizontal="center"/>
      <protection hidden="1"/>
    </xf>
    <xf numFmtId="0" fontId="35" fillId="7" borderId="6" xfId="0" applyFont="1" applyFill="1" applyBorder="1" applyAlignment="1" applyProtection="1">
      <alignment horizontal="left"/>
      <protection locked="0"/>
    </xf>
    <xf numFmtId="164" fontId="35" fillId="7" borderId="6" xfId="2" applyFont="1" applyFill="1" applyBorder="1" applyAlignment="1" applyProtection="1">
      <alignment horizontal="center"/>
      <protection locked="0"/>
    </xf>
    <xf numFmtId="170" fontId="35" fillId="3" borderId="8" xfId="0" applyNumberFormat="1" applyFont="1" applyFill="1" applyBorder="1" applyAlignment="1" applyProtection="1">
      <alignment horizontal="center"/>
      <protection hidden="1"/>
    </xf>
    <xf numFmtId="0" fontId="36" fillId="3" borderId="0" xfId="0" applyFont="1" applyFill="1" applyBorder="1" applyAlignment="1" applyProtection="1">
      <alignment horizontal="left" vertical="top"/>
      <protection hidden="1"/>
    </xf>
    <xf numFmtId="0" fontId="35" fillId="3" borderId="0" xfId="0" applyFont="1" applyFill="1" applyBorder="1" applyAlignment="1" applyProtection="1">
      <alignment horizontal="left" vertical="top"/>
      <protection hidden="1"/>
    </xf>
    <xf numFmtId="0" fontId="35" fillId="3" borderId="4" xfId="0" applyFont="1" applyFill="1" applyBorder="1" applyAlignment="1" applyProtection="1">
      <alignment horizontal="center" vertical="center"/>
      <protection hidden="1"/>
    </xf>
    <xf numFmtId="0" fontId="35" fillId="3" borderId="5" xfId="0" applyFont="1" applyFill="1" applyBorder="1" applyAlignment="1" applyProtection="1">
      <alignment horizontal="center" vertical="center"/>
      <protection hidden="1"/>
    </xf>
    <xf numFmtId="0" fontId="35" fillId="3" borderId="8" xfId="0" applyFont="1" applyFill="1" applyBorder="1" applyAlignment="1" applyProtection="1">
      <alignment horizontal="center"/>
      <protection hidden="1"/>
    </xf>
    <xf numFmtId="167" fontId="35" fillId="3" borderId="7" xfId="0" applyNumberFormat="1" applyFont="1" applyFill="1" applyBorder="1" applyAlignment="1" applyProtection="1">
      <alignment horizontal="center"/>
      <protection hidden="1"/>
    </xf>
    <xf numFmtId="0" fontId="6" fillId="3" borderId="0" xfId="0" applyFont="1" applyFill="1" applyBorder="1" applyAlignment="1" applyProtection="1">
      <alignment horizontal="center"/>
      <protection hidden="1"/>
    </xf>
    <xf numFmtId="0" fontId="15" fillId="3" borderId="0" xfId="5" applyFont="1" applyFill="1" applyAlignment="1" applyProtection="1">
      <alignment horizontal="center"/>
      <protection hidden="1"/>
    </xf>
    <xf numFmtId="0" fontId="14" fillId="3" borderId="0" xfId="0" applyFont="1" applyFill="1" applyAlignment="1" applyProtection="1">
      <alignment horizontal="center"/>
      <protection hidden="1"/>
    </xf>
    <xf numFmtId="0" fontId="35" fillId="7" borderId="6" xfId="0" applyFont="1" applyFill="1" applyBorder="1" applyAlignment="1" applyProtection="1">
      <protection locked="0"/>
    </xf>
    <xf numFmtId="0" fontId="36" fillId="2" borderId="2" xfId="0" applyFont="1" applyFill="1" applyBorder="1" applyAlignment="1" applyProtection="1">
      <alignment horizontal="left"/>
      <protection locked="0" hidden="1"/>
    </xf>
    <xf numFmtId="0" fontId="3" fillId="0" borderId="0" xfId="0" applyNumberFormat="1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6" fillId="3" borderId="6" xfId="0" applyFont="1" applyFill="1" applyBorder="1" applyAlignment="1" applyProtection="1">
      <alignment horizontal="left" vertical="top"/>
      <protection hidden="1"/>
    </xf>
    <xf numFmtId="0" fontId="54" fillId="3" borderId="25" xfId="0" applyFont="1" applyFill="1" applyBorder="1" applyAlignment="1" applyProtection="1">
      <alignment horizontal="center"/>
      <protection hidden="1"/>
    </xf>
    <xf numFmtId="0" fontId="54" fillId="3" borderId="26" xfId="0" applyFont="1" applyFill="1" applyBorder="1" applyAlignment="1" applyProtection="1">
      <alignment horizontal="center"/>
      <protection hidden="1"/>
    </xf>
    <xf numFmtId="0" fontId="54" fillId="3" borderId="27" xfId="0" applyFont="1" applyFill="1" applyBorder="1" applyAlignment="1" applyProtection="1">
      <alignment horizontal="center"/>
      <protection hidden="1"/>
    </xf>
    <xf numFmtId="0" fontId="50" fillId="3" borderId="0" xfId="0" applyFont="1" applyFill="1" applyBorder="1" applyAlignment="1" applyProtection="1">
      <alignment horizontal="center"/>
      <protection hidden="1"/>
    </xf>
    <xf numFmtId="167" fontId="49" fillId="3" borderId="0" xfId="0" applyNumberFormat="1" applyFont="1" applyFill="1" applyBorder="1" applyAlignment="1" applyProtection="1">
      <alignment horizontal="center"/>
      <protection hidden="1"/>
    </xf>
    <xf numFmtId="167" fontId="50" fillId="7" borderId="7" xfId="0" applyNumberFormat="1" applyFont="1" applyFill="1" applyBorder="1" applyAlignment="1" applyProtection="1">
      <alignment horizontal="center"/>
      <protection locked="0"/>
    </xf>
    <xf numFmtId="167" fontId="50" fillId="7" borderId="0" xfId="0" applyNumberFormat="1" applyFont="1" applyFill="1" applyBorder="1" applyAlignment="1" applyProtection="1">
      <alignment horizontal="center"/>
      <protection locked="0"/>
    </xf>
    <xf numFmtId="3" fontId="35" fillId="3" borderId="0" xfId="0" applyNumberFormat="1" applyFont="1" applyFill="1" applyBorder="1" applyAlignment="1" applyProtection="1">
      <alignment horizontal="center"/>
      <protection locked="0" hidden="1"/>
    </xf>
    <xf numFmtId="164" fontId="5" fillId="7" borderId="6" xfId="5" applyNumberFormat="1" applyFill="1" applyBorder="1" applyAlignment="1" applyProtection="1">
      <alignment horizontal="center"/>
      <protection locked="0"/>
    </xf>
  </cellXfs>
  <cellStyles count="6">
    <cellStyle name="% 2" xfId="4"/>
    <cellStyle name="Hipervínculo" xfId="5" builtinId="8"/>
    <cellStyle name="Millares" xfId="1" builtinId="3"/>
    <cellStyle name="Moneda" xfId="2" builtinId="4"/>
    <cellStyle name="Normal" xfId="0" builtinId="0"/>
    <cellStyle name="Normal 2" xfId="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24175</xdr:colOff>
      <xdr:row>124</xdr:row>
      <xdr:rowOff>29675</xdr:rowOff>
    </xdr:from>
    <xdr:ext cx="184730" cy="468013"/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5472475" y="18374825"/>
          <a:ext cx="184730" cy="468013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endParaRPr lang="es-ES" sz="2400" b="1" cap="none" spc="0">
            <a:ln w="17780" cmpd="sng">
              <a:solidFill>
                <a:schemeClr val="accent1">
                  <a:tint val="3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63000"/>
                    <a:sat val="105000"/>
                  </a:schemeClr>
                </a:gs>
                <a:gs pos="90000">
                  <a:schemeClr val="accent1">
                    <a:shade val="50000"/>
                    <a:satMod val="100000"/>
                  </a:schemeClr>
                </a:gs>
              </a:gsLst>
              <a:lin ang="5400000"/>
            </a:gradFill>
            <a:effectLst>
              <a:outerShdw blurRad="55000" dist="50800" dir="5400000" algn="tl">
                <a:srgbClr val="000000">
                  <a:alpha val="33000"/>
                </a:srgbClr>
              </a:outerShdw>
            </a:effectLst>
          </a:endParaRPr>
        </a:p>
      </xdr:txBody>
    </xdr:sp>
    <xdr:clientData/>
  </xdr:oneCellAnchor>
  <xdr:twoCellAnchor>
    <xdr:from>
      <xdr:col>29</xdr:col>
      <xdr:colOff>214311</xdr:colOff>
      <xdr:row>0</xdr:row>
      <xdr:rowOff>59532</xdr:rowOff>
    </xdr:from>
    <xdr:to>
      <xdr:col>37</xdr:col>
      <xdr:colOff>11905</xdr:colOff>
      <xdr:row>2</xdr:row>
      <xdr:rowOff>0</xdr:rowOff>
    </xdr:to>
    <xdr:sp macro="[0]!IMPRIMIR" textlink="">
      <xdr:nvSpPr>
        <xdr:cNvPr id="3" name="Rectángulo 2">
          <a:extLst>
            <a:ext uri="{FF2B5EF4-FFF2-40B4-BE49-F238E27FC236}">
              <a16:creationId xmlns:a16="http://schemas.microsoft.com/office/drawing/2014/main" xmlns="" id="{FB64E389-7992-4DFA-97DC-6184B22EB3F7}"/>
            </a:ext>
          </a:extLst>
        </xdr:cNvPr>
        <xdr:cNvSpPr/>
      </xdr:nvSpPr>
      <xdr:spPr>
        <a:xfrm>
          <a:off x="10144124" y="59532"/>
          <a:ext cx="1750219" cy="321468"/>
        </a:xfrm>
        <a:prstGeom prst="rect">
          <a:avLst/>
        </a:prstGeom>
        <a:solidFill>
          <a:srgbClr val="FFFF00"/>
        </a:solidFill>
        <a:ln cmpd="thickThin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rgbClr val="FF0000"/>
              </a:solidFill>
            </a:rPr>
            <a:t>    PULSAR</a:t>
          </a:r>
          <a:r>
            <a:rPr lang="es-ES" sz="1100" b="1" baseline="0">
              <a:solidFill>
                <a:srgbClr val="FF0000"/>
              </a:solidFill>
            </a:rPr>
            <a:t> PARA OFERTA</a:t>
          </a:r>
          <a:endParaRPr lang="es-ES" sz="11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26</xdr:col>
      <xdr:colOff>270189</xdr:colOff>
      <xdr:row>5</xdr:row>
      <xdr:rowOff>33202</xdr:rowOff>
    </xdr:from>
    <xdr:to>
      <xdr:col>39</xdr:col>
      <xdr:colOff>342900</xdr:colOff>
      <xdr:row>14</xdr:row>
      <xdr:rowOff>81643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3403" y="985702"/>
          <a:ext cx="3460890" cy="2089512"/>
        </a:xfrm>
        <a:prstGeom prst="rect">
          <a:avLst/>
        </a:prstGeom>
      </xdr:spPr>
    </xdr:pic>
    <xdr:clientData/>
  </xdr:twoCellAnchor>
  <xdr:twoCellAnchor>
    <xdr:from>
      <xdr:col>25</xdr:col>
      <xdr:colOff>1006928</xdr:colOff>
      <xdr:row>0</xdr:row>
      <xdr:rowOff>149679</xdr:rowOff>
    </xdr:from>
    <xdr:to>
      <xdr:col>29</xdr:col>
      <xdr:colOff>13607</xdr:colOff>
      <xdr:row>1</xdr:row>
      <xdr:rowOff>176893</xdr:rowOff>
    </xdr:to>
    <xdr:sp macro="" textlink="">
      <xdr:nvSpPr>
        <xdr:cNvPr id="5" name="4 Flecha derecha"/>
        <xdr:cNvSpPr/>
      </xdr:nvSpPr>
      <xdr:spPr>
        <a:xfrm>
          <a:off x="9783535" y="149679"/>
          <a:ext cx="1034143" cy="217714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0</xdr:colOff>
      <xdr:row>82</xdr:row>
      <xdr:rowOff>81643</xdr:rowOff>
    </xdr:from>
    <xdr:to>
      <xdr:col>23</xdr:col>
      <xdr:colOff>149680</xdr:colOff>
      <xdr:row>84</xdr:row>
      <xdr:rowOff>190500</xdr:rowOff>
    </xdr:to>
    <xdr:sp macro="" textlink="">
      <xdr:nvSpPr>
        <xdr:cNvPr id="6" name="5 CuadroTexto"/>
        <xdr:cNvSpPr txBox="1"/>
      </xdr:nvSpPr>
      <xdr:spPr>
        <a:xfrm>
          <a:off x="4150179" y="16600714"/>
          <a:ext cx="4422322" cy="53067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/>
            <a:t>Seleccionar el tipo de Cobertura para la Fibra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255749</xdr:colOff>
      <xdr:row>52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13749" cy="10058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9</xdr:col>
      <xdr:colOff>255749</xdr:colOff>
      <xdr:row>105</xdr:row>
      <xdr:rowOff>152400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96500"/>
          <a:ext cx="7113749" cy="10058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NSULTOR31@MULTIVOZ.E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DZ204"/>
  <sheetViews>
    <sheetView showGridLines="0" tabSelected="1" showWhiteSpace="0" topLeftCell="A16" zoomScale="70" zoomScaleNormal="70" zoomScalePageLayoutView="75" workbookViewId="0">
      <selection activeCell="G61" sqref="G61:J61"/>
    </sheetView>
  </sheetViews>
  <sheetFormatPr baseColWidth="10" defaultColWidth="11.42578125" defaultRowHeight="15"/>
  <cols>
    <col min="1" max="11" width="3.42578125" style="1" customWidth="1"/>
    <col min="12" max="12" width="9.5703125" style="1" customWidth="1"/>
    <col min="13" max="13" width="8.140625" style="1" customWidth="1"/>
    <col min="14" max="14" width="6.28515625" style="1" customWidth="1"/>
    <col min="15" max="15" width="37.140625" style="1" customWidth="1"/>
    <col min="16" max="16" width="3.42578125" style="1" customWidth="1"/>
    <col min="17" max="17" width="1.28515625" style="1" customWidth="1"/>
    <col min="18" max="18" width="4.140625" style="1" customWidth="1"/>
    <col min="19" max="19" width="2.7109375" style="1" customWidth="1"/>
    <col min="20" max="20" width="4.28515625" style="1" customWidth="1"/>
    <col min="21" max="21" width="3.42578125" style="1" customWidth="1"/>
    <col min="22" max="22" width="3.5703125" style="1" customWidth="1"/>
    <col min="23" max="23" width="4" style="1" customWidth="1"/>
    <col min="24" max="25" width="2.7109375" style="1" customWidth="1"/>
    <col min="26" max="26" width="17.28515625" style="1" customWidth="1"/>
    <col min="27" max="28" width="4.7109375" style="1" customWidth="1"/>
    <col min="29" max="29" width="3.5703125" style="1" customWidth="1"/>
    <col min="30" max="30" width="4.7109375" style="1" customWidth="1"/>
    <col min="31" max="31" width="3.42578125" style="1" customWidth="1"/>
    <col min="32" max="32" width="3" style="1" customWidth="1"/>
    <col min="33" max="33" width="4.28515625" style="1" customWidth="1"/>
    <col min="34" max="34" width="5" style="1" customWidth="1"/>
    <col min="35" max="35" width="3" style="1" customWidth="1"/>
    <col min="36" max="36" width="3.42578125" style="1" customWidth="1"/>
    <col min="37" max="37" width="3.7109375" style="1" customWidth="1"/>
    <col min="38" max="39" width="3.42578125" style="1" customWidth="1"/>
    <col min="40" max="40" width="5.28515625" style="1" customWidth="1"/>
    <col min="41" max="41" width="3.42578125" style="15" customWidth="1"/>
    <col min="42" max="45" width="5.28515625" style="5" customWidth="1"/>
    <col min="46" max="46" width="6.42578125" style="5" customWidth="1"/>
    <col min="47" max="48" width="3.85546875" style="5" bestFit="1" customWidth="1"/>
    <col min="49" max="53" width="8.85546875" style="5" customWidth="1"/>
    <col min="54" max="55" width="9.28515625" style="5" bestFit="1" customWidth="1"/>
    <col min="56" max="56" width="4.42578125" style="5" bestFit="1" customWidth="1"/>
    <col min="57" max="58" width="8.85546875" style="5" customWidth="1"/>
    <col min="59" max="59" width="18.42578125" style="5" bestFit="1" customWidth="1"/>
    <col min="60" max="61" width="3.85546875" style="5" bestFit="1" customWidth="1"/>
    <col min="62" max="67" width="3.42578125" style="5"/>
    <col min="68" max="68" width="28.42578125" style="5" bestFit="1" customWidth="1"/>
    <col min="69" max="69" width="6" style="5" bestFit="1" customWidth="1"/>
    <col min="70" max="70" width="7" style="5" bestFit="1" customWidth="1"/>
    <col min="71" max="76" width="3.42578125" style="5"/>
    <col min="77" max="77" width="28.42578125" style="5" bestFit="1" customWidth="1"/>
    <col min="78" max="78" width="6.140625" style="5" bestFit="1" customWidth="1"/>
    <col min="79" max="79" width="7" style="5" bestFit="1" customWidth="1"/>
    <col min="80" max="80" width="11.85546875" style="5" bestFit="1" customWidth="1"/>
    <col min="81" max="81" width="14.28515625" style="5" bestFit="1" customWidth="1"/>
    <col min="82" max="85" width="3.42578125" style="5"/>
    <col min="86" max="86" width="37.7109375" style="5" bestFit="1" customWidth="1"/>
    <col min="87" max="87" width="7.140625" style="5" bestFit="1" customWidth="1"/>
    <col min="88" max="88" width="9.28515625" style="5" bestFit="1" customWidth="1"/>
    <col min="89" max="92" width="3.42578125" style="5"/>
    <col min="93" max="93" width="37.7109375" style="5" bestFit="1" customWidth="1"/>
    <col min="94" max="94" width="7.140625" style="5" bestFit="1" customWidth="1"/>
    <col min="95" max="95" width="9.28515625" style="5" bestFit="1" customWidth="1"/>
    <col min="96" max="96" width="4.7109375" style="5" bestFit="1" customWidth="1"/>
    <col min="97" max="97" width="5.28515625" style="5" bestFit="1" customWidth="1"/>
    <col min="98" max="100" width="3.42578125" style="5"/>
    <col min="101" max="101" width="22.7109375" style="5" customWidth="1"/>
    <col min="102" max="102" width="118" style="5" customWidth="1"/>
    <col min="103" max="113" width="11.42578125" style="5"/>
    <col min="114" max="119" width="11.42578125" style="16"/>
    <col min="120" max="126" width="11.42578125" style="21"/>
    <col min="127" max="127" width="11.42578125" style="12"/>
    <col min="128" max="130" width="11.42578125" style="18"/>
    <col min="131" max="16384" width="11.42578125" style="1"/>
  </cols>
  <sheetData>
    <row r="1" spans="1:97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9"/>
    </row>
    <row r="2" spans="1:97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9"/>
    </row>
    <row r="3" spans="1:97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9"/>
    </row>
    <row r="4" spans="1:97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9"/>
    </row>
    <row r="5" spans="1:97">
      <c r="A5" s="34"/>
      <c r="B5" s="34"/>
      <c r="C5" s="34"/>
      <c r="D5" s="34"/>
      <c r="E5" s="34"/>
      <c r="F5" s="34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BL5" s="25"/>
      <c r="BM5" s="25"/>
      <c r="BN5" s="25"/>
      <c r="BO5" s="25"/>
      <c r="BP5" s="25"/>
      <c r="BQ5" s="25"/>
      <c r="BR5" s="25"/>
    </row>
    <row r="6" spans="1:97" ht="15" customHeight="1">
      <c r="A6" s="34"/>
      <c r="B6" s="34"/>
      <c r="C6" s="73"/>
      <c r="D6" s="73"/>
      <c r="E6" s="73"/>
      <c r="F6" s="73"/>
      <c r="G6" s="163" t="s">
        <v>37</v>
      </c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73"/>
      <c r="AE6" s="73"/>
      <c r="AF6" s="73"/>
      <c r="AG6" s="73"/>
      <c r="AH6" s="73"/>
      <c r="AI6" s="73"/>
      <c r="AJ6" s="73"/>
      <c r="AK6" s="34"/>
      <c r="AL6" s="34"/>
      <c r="AM6" s="34"/>
      <c r="AN6" s="34"/>
      <c r="AO6" s="34"/>
      <c r="BL6" s="25"/>
      <c r="BM6" s="25"/>
      <c r="BN6" s="25"/>
      <c r="BO6" s="25"/>
      <c r="BP6" s="25"/>
      <c r="BQ6" s="25"/>
      <c r="BR6" s="25"/>
    </row>
    <row r="7" spans="1:97" ht="15" customHeight="1">
      <c r="A7" s="34"/>
      <c r="B7" s="73"/>
      <c r="C7" s="73"/>
      <c r="D7" s="73"/>
      <c r="E7" s="73"/>
      <c r="F7" s="7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73"/>
      <c r="AE7" s="73"/>
      <c r="AF7" s="73"/>
      <c r="AG7" s="73"/>
      <c r="AH7" s="73"/>
      <c r="AI7" s="73"/>
      <c r="AJ7" s="73"/>
      <c r="AK7" s="34"/>
      <c r="AL7" s="34"/>
      <c r="AM7" s="34"/>
      <c r="AN7" s="34"/>
      <c r="AO7" s="34"/>
      <c r="BL7" s="25"/>
      <c r="BM7" s="25"/>
      <c r="BN7" s="25"/>
      <c r="BO7" s="25"/>
      <c r="BP7" s="25"/>
      <c r="BQ7" s="25"/>
      <c r="BR7" s="25"/>
      <c r="CR7" s="247" t="s">
        <v>104</v>
      </c>
      <c r="CS7" s="247"/>
    </row>
    <row r="8" spans="1:97" ht="15" customHeight="1">
      <c r="A8" s="34"/>
      <c r="B8" s="73"/>
      <c r="C8" s="73"/>
      <c r="D8" s="73"/>
      <c r="E8" s="73"/>
      <c r="F8" s="73"/>
      <c r="G8" s="164" t="s">
        <v>38</v>
      </c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73"/>
      <c r="AE8" s="73"/>
      <c r="AF8" s="73"/>
      <c r="AG8" s="73"/>
      <c r="AH8" s="73"/>
      <c r="AI8" s="73"/>
      <c r="AJ8" s="73"/>
      <c r="AK8" s="34"/>
      <c r="AL8" s="34"/>
      <c r="AM8" s="34"/>
      <c r="AN8" s="34"/>
      <c r="AO8" s="34"/>
      <c r="AT8" s="5" t="s">
        <v>7</v>
      </c>
      <c r="AU8" s="63">
        <v>35</v>
      </c>
      <c r="AV8" s="63">
        <v>9</v>
      </c>
      <c r="BL8" s="25"/>
      <c r="BM8" s="25"/>
      <c r="BN8" s="25"/>
      <c r="BO8" s="25"/>
      <c r="BP8" s="25"/>
      <c r="BQ8" s="25" t="s">
        <v>18</v>
      </c>
      <c r="BR8" s="25"/>
      <c r="BZ8" s="5" t="s">
        <v>18</v>
      </c>
      <c r="CB8" s="5" t="s">
        <v>45</v>
      </c>
      <c r="CC8" s="5" t="s">
        <v>46</v>
      </c>
      <c r="CH8" s="5" t="s">
        <v>49</v>
      </c>
      <c r="CI8" s="5" t="s">
        <v>50</v>
      </c>
      <c r="CJ8" s="5" t="s">
        <v>87</v>
      </c>
      <c r="CO8" s="5" t="s">
        <v>49</v>
      </c>
      <c r="CP8" s="5" t="s">
        <v>50</v>
      </c>
      <c r="CQ8" s="5" t="s">
        <v>87</v>
      </c>
      <c r="CR8" s="5" t="s">
        <v>50</v>
      </c>
      <c r="CS8" s="5" t="s">
        <v>87</v>
      </c>
    </row>
    <row r="9" spans="1:97" ht="18.75" customHeight="1">
      <c r="A9" s="34"/>
      <c r="B9" s="34"/>
      <c r="C9" s="74"/>
      <c r="D9" s="74"/>
      <c r="E9" s="74"/>
      <c r="F9" s="7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74"/>
      <c r="AE9" s="74" t="s">
        <v>13</v>
      </c>
      <c r="AF9" s="74" t="s">
        <v>13</v>
      </c>
      <c r="AG9" s="74"/>
      <c r="AH9" s="74"/>
      <c r="AI9" s="74"/>
      <c r="AJ9" s="74"/>
      <c r="AK9" s="34"/>
      <c r="AL9" s="34"/>
      <c r="AM9" s="34"/>
      <c r="AN9" s="34"/>
      <c r="AO9" s="34"/>
      <c r="AT9" s="5" t="s">
        <v>8</v>
      </c>
      <c r="AU9" s="63">
        <v>45</v>
      </c>
      <c r="AV9" s="63">
        <v>19</v>
      </c>
      <c r="BB9" s="64" t="s">
        <v>21</v>
      </c>
      <c r="BC9" s="64" t="s">
        <v>21</v>
      </c>
      <c r="BD9" s="65">
        <v>1.21</v>
      </c>
      <c r="BG9" s="64" t="s">
        <v>7</v>
      </c>
      <c r="BH9" s="66">
        <v>35</v>
      </c>
      <c r="BI9" s="66">
        <v>9</v>
      </c>
      <c r="BL9" s="25"/>
      <c r="BM9" s="25"/>
      <c r="BN9" s="25"/>
      <c r="BO9" s="25"/>
      <c r="BP9" s="31" t="s">
        <v>7</v>
      </c>
      <c r="BQ9" s="30">
        <f>BH9*VLOOKUP($AQ$19,BB9:BD18,3,0)</f>
        <v>42.35</v>
      </c>
      <c r="BR9" s="30">
        <f>BI9*VLOOKUP($AQ$19,BB9:BD18,3,0)</f>
        <v>10.89</v>
      </c>
      <c r="BY9" s="5" t="s">
        <v>39</v>
      </c>
      <c r="BZ9" s="5">
        <v>59.95</v>
      </c>
      <c r="CA9" s="6">
        <v>72.539500000000004</v>
      </c>
      <c r="CB9" s="5">
        <v>-20</v>
      </c>
      <c r="CC9" s="5">
        <v>-24.2</v>
      </c>
      <c r="CH9" s="5" t="s">
        <v>51</v>
      </c>
      <c r="CI9" s="5">
        <v>7</v>
      </c>
      <c r="CJ9" s="5">
        <f>CI9*1.21</f>
        <v>8.4699999999999989</v>
      </c>
      <c r="CO9" s="5" t="s">
        <v>51</v>
      </c>
      <c r="CP9" s="5">
        <v>7</v>
      </c>
      <c r="CQ9" s="5">
        <f t="shared" ref="CQ9:CQ28" si="0">CP9*1.21</f>
        <v>8.4699999999999989</v>
      </c>
      <c r="CR9" s="5">
        <v>7</v>
      </c>
      <c r="CS9" s="5">
        <f>CR9*1.21</f>
        <v>8.4699999999999989</v>
      </c>
    </row>
    <row r="10" spans="1:97" ht="18.75" customHeight="1">
      <c r="A10" s="3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34"/>
      <c r="AL10" s="34"/>
      <c r="AM10" s="34"/>
      <c r="AN10" s="34"/>
      <c r="AO10" s="34"/>
      <c r="BB10" s="64" t="s">
        <v>22</v>
      </c>
      <c r="BC10" s="64" t="s">
        <v>22</v>
      </c>
      <c r="BD10" s="65">
        <v>1.07</v>
      </c>
      <c r="BG10" s="64" t="s">
        <v>8</v>
      </c>
      <c r="BH10" s="66">
        <v>45</v>
      </c>
      <c r="BI10" s="66">
        <v>19</v>
      </c>
      <c r="BL10" s="25"/>
      <c r="BM10" s="25"/>
      <c r="BN10" s="25"/>
      <c r="BO10" s="25"/>
      <c r="BP10" s="31" t="s">
        <v>8</v>
      </c>
      <c r="BQ10" s="30">
        <f>BH10*VLOOKUP($AQ$19,$BB$9:$BD$18,3,0)</f>
        <v>54.449999999999996</v>
      </c>
      <c r="BR10" s="30">
        <f>BI10*VLOOKUP($AQ$19,$BB$9:$BD$18,3,0)</f>
        <v>22.99</v>
      </c>
      <c r="BY10" s="5" t="s">
        <v>40</v>
      </c>
      <c r="BZ10" s="5">
        <v>99.95</v>
      </c>
      <c r="CA10" s="6">
        <v>120.9395</v>
      </c>
      <c r="CB10" s="5">
        <v>-20</v>
      </c>
      <c r="CC10" s="5">
        <v>-24.2</v>
      </c>
      <c r="CH10" s="5" t="s">
        <v>52</v>
      </c>
      <c r="CI10" s="5">
        <v>23</v>
      </c>
      <c r="CJ10" s="5">
        <f t="shared" ref="CJ10:CJ34" si="1">CI10*1.21</f>
        <v>27.83</v>
      </c>
      <c r="CO10" s="5" t="s">
        <v>52</v>
      </c>
      <c r="CP10" s="5">
        <v>23</v>
      </c>
      <c r="CQ10" s="5">
        <f t="shared" si="0"/>
        <v>27.83</v>
      </c>
      <c r="CR10" s="5">
        <v>23</v>
      </c>
      <c r="CS10" s="5">
        <f t="shared" ref="CS10:CS28" si="2">CR10*1.21</f>
        <v>27.83</v>
      </c>
    </row>
    <row r="11" spans="1:97" ht="18.75" customHeight="1">
      <c r="A11" s="3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34"/>
      <c r="AL11" s="34"/>
      <c r="AM11" s="34"/>
      <c r="AN11" s="34"/>
      <c r="AO11" s="34"/>
      <c r="BB11" s="64"/>
      <c r="BC11" s="64"/>
      <c r="BD11" s="65"/>
      <c r="BG11" s="64"/>
      <c r="BH11" s="66"/>
      <c r="BI11" s="66"/>
      <c r="BL11" s="25"/>
      <c r="BM11" s="25"/>
      <c r="BN11" s="25"/>
      <c r="BO11" s="25"/>
      <c r="BP11" s="31"/>
      <c r="BQ11" s="30"/>
      <c r="BR11" s="30"/>
      <c r="CA11" s="6"/>
    </row>
    <row r="12" spans="1:97" ht="18.75" customHeight="1">
      <c r="A12" s="3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34"/>
      <c r="AL12" s="34"/>
      <c r="AM12" s="34"/>
      <c r="AN12" s="34"/>
      <c r="AO12" s="34"/>
      <c r="BB12" s="64"/>
      <c r="BC12" s="64"/>
      <c r="BD12" s="65"/>
      <c r="BG12" s="64"/>
      <c r="BH12" s="66"/>
      <c r="BI12" s="66"/>
      <c r="BL12" s="25"/>
      <c r="BM12" s="25"/>
      <c r="BN12" s="25"/>
      <c r="BO12" s="25"/>
      <c r="BP12" s="31"/>
      <c r="BQ12" s="30"/>
      <c r="BR12" s="30"/>
      <c r="CA12" s="6"/>
    </row>
    <row r="13" spans="1:97" ht="18.75" customHeight="1">
      <c r="A13" s="3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34"/>
      <c r="AL13" s="34"/>
      <c r="AM13" s="34"/>
      <c r="AN13" s="34"/>
      <c r="AO13" s="34"/>
      <c r="BB13" s="64"/>
      <c r="BC13" s="64"/>
      <c r="BD13" s="65"/>
      <c r="BG13" s="64"/>
      <c r="BH13" s="66"/>
      <c r="BI13" s="66"/>
      <c r="BL13" s="25"/>
      <c r="BM13" s="25"/>
      <c r="BN13" s="25"/>
      <c r="BO13" s="25"/>
      <c r="BP13" s="31"/>
      <c r="BQ13" s="30"/>
      <c r="BR13" s="30"/>
      <c r="CA13" s="6"/>
    </row>
    <row r="14" spans="1:97" ht="18.75" customHeight="1">
      <c r="A14" s="3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34"/>
      <c r="AL14" s="34"/>
      <c r="AM14" s="34"/>
      <c r="AN14" s="34"/>
      <c r="AO14" s="34"/>
      <c r="BB14" s="64"/>
      <c r="BC14" s="64"/>
      <c r="BD14" s="65"/>
      <c r="BG14" s="64"/>
      <c r="BH14" s="66"/>
      <c r="BI14" s="66"/>
      <c r="BL14" s="25"/>
      <c r="BM14" s="25"/>
      <c r="BN14" s="25"/>
      <c r="BO14" s="25"/>
      <c r="BP14" s="31"/>
      <c r="BQ14" s="30"/>
      <c r="BR14" s="30"/>
      <c r="CA14" s="6"/>
    </row>
    <row r="15" spans="1:97" ht="18.75" customHeight="1">
      <c r="A15" s="3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34"/>
      <c r="AL15" s="34"/>
      <c r="AM15" s="34"/>
      <c r="AN15" s="34"/>
      <c r="AO15" s="34"/>
      <c r="BB15" s="64"/>
      <c r="BC15" s="64"/>
      <c r="BD15" s="65"/>
      <c r="BG15" s="64"/>
      <c r="BH15" s="66"/>
      <c r="BI15" s="66"/>
      <c r="BL15" s="25"/>
      <c r="BM15" s="25"/>
      <c r="BN15" s="25"/>
      <c r="BO15" s="25"/>
      <c r="BP15" s="31"/>
      <c r="BQ15" s="30"/>
      <c r="BR15" s="30"/>
      <c r="CA15" s="6"/>
    </row>
    <row r="16" spans="1:97" ht="18.75" customHeight="1">
      <c r="A16" s="3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34"/>
      <c r="AL16" s="34"/>
      <c r="AM16" s="34"/>
      <c r="AN16" s="34"/>
      <c r="AO16" s="34"/>
      <c r="BB16" s="64"/>
      <c r="BC16" s="64"/>
      <c r="BD16" s="65"/>
      <c r="BG16" s="64"/>
      <c r="BH16" s="66"/>
      <c r="BI16" s="66"/>
      <c r="BL16" s="25"/>
      <c r="BM16" s="25"/>
      <c r="BN16" s="25"/>
      <c r="BO16" s="25"/>
      <c r="BP16" s="31"/>
      <c r="BQ16" s="30"/>
      <c r="BR16" s="30"/>
      <c r="CA16" s="6"/>
    </row>
    <row r="17" spans="1:97" ht="18.75" customHeight="1">
      <c r="A17" s="34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34"/>
      <c r="AL17" s="34"/>
      <c r="AM17" s="34"/>
      <c r="AN17" s="34"/>
      <c r="AO17" s="34"/>
      <c r="AT17" s="5" t="s">
        <v>14</v>
      </c>
      <c r="AU17" s="63">
        <v>9</v>
      </c>
      <c r="AV17" s="63">
        <v>9</v>
      </c>
      <c r="BB17" s="64" t="s">
        <v>23</v>
      </c>
      <c r="BC17" s="64" t="s">
        <v>23</v>
      </c>
      <c r="BD17" s="65">
        <v>1.1000000000000001</v>
      </c>
      <c r="BG17" s="64" t="s">
        <v>19</v>
      </c>
      <c r="BH17" s="66">
        <f>BH9+5</f>
        <v>40</v>
      </c>
      <c r="BI17" s="66">
        <v>9</v>
      </c>
      <c r="BL17" s="25"/>
      <c r="BM17" s="25"/>
      <c r="BN17" s="25"/>
      <c r="BO17" s="25"/>
      <c r="BP17" s="31" t="s">
        <v>19</v>
      </c>
      <c r="BQ17" s="30">
        <f>BH17*VLOOKUP($AQ$19,$BB$9:$BD$18,3,0)</f>
        <v>48.4</v>
      </c>
      <c r="BR17" s="30">
        <f>BI17*VLOOKUP($AQ$19,$BB$9:$BD$18,3,0)</f>
        <v>10.89</v>
      </c>
      <c r="BY17" s="5" t="s">
        <v>41</v>
      </c>
      <c r="BZ17" s="5">
        <v>69.95</v>
      </c>
      <c r="CA17" s="6">
        <v>84.639499999999998</v>
      </c>
      <c r="CB17" s="5">
        <v>-20</v>
      </c>
      <c r="CC17" s="5">
        <v>-24.2</v>
      </c>
      <c r="CH17" s="5" t="s">
        <v>53</v>
      </c>
      <c r="CI17" s="5">
        <v>35</v>
      </c>
      <c r="CJ17" s="5">
        <f t="shared" si="1"/>
        <v>42.35</v>
      </c>
      <c r="CO17" s="5" t="s">
        <v>53</v>
      </c>
      <c r="CP17" s="5">
        <v>35</v>
      </c>
      <c r="CQ17" s="5">
        <f t="shared" si="0"/>
        <v>42.35</v>
      </c>
      <c r="CR17" s="5">
        <v>35</v>
      </c>
      <c r="CS17" s="5">
        <f t="shared" si="2"/>
        <v>42.35</v>
      </c>
    </row>
    <row r="18" spans="1:97" ht="15.75">
      <c r="A18" s="34"/>
      <c r="B18" s="82"/>
      <c r="C18" s="130" t="s">
        <v>93</v>
      </c>
      <c r="D18" s="130"/>
      <c r="E18" s="130"/>
      <c r="F18" s="130"/>
      <c r="G18" s="130"/>
      <c r="H18" s="130"/>
      <c r="I18" s="135"/>
      <c r="J18" s="97"/>
      <c r="K18" s="97"/>
      <c r="L18" s="96"/>
      <c r="M18" s="96"/>
      <c r="N18" s="96"/>
      <c r="O18" s="96"/>
      <c r="P18" s="96"/>
      <c r="Q18" s="96"/>
      <c r="R18" s="97"/>
      <c r="S18" s="97"/>
      <c r="T18" s="105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34"/>
      <c r="AQ18" s="64" t="s">
        <v>25</v>
      </c>
      <c r="AT18" s="5" t="s">
        <v>103</v>
      </c>
      <c r="AU18" s="63">
        <v>19</v>
      </c>
      <c r="AV18" s="63">
        <v>19</v>
      </c>
      <c r="BB18" s="67" t="s">
        <v>24</v>
      </c>
      <c r="BC18" s="64" t="s">
        <v>24</v>
      </c>
      <c r="BD18" s="65">
        <v>1.04</v>
      </c>
      <c r="BG18" s="64" t="s">
        <v>20</v>
      </c>
      <c r="BH18" s="66">
        <f>BH10+5</f>
        <v>50</v>
      </c>
      <c r="BI18" s="66">
        <v>19</v>
      </c>
      <c r="BL18" s="25"/>
      <c r="BM18" s="25"/>
      <c r="BN18" s="25"/>
      <c r="BO18" s="25"/>
      <c r="BP18" s="31" t="s">
        <v>20</v>
      </c>
      <c r="BQ18" s="30">
        <f>BH18*VLOOKUP($AQ$19,$BB$9:$BD$18,3,0)</f>
        <v>60.5</v>
      </c>
      <c r="BR18" s="30">
        <f>BI18*VLOOKUP($AQ$19,$BB$9:$BD$18,3,0)</f>
        <v>22.99</v>
      </c>
      <c r="BY18" s="5" t="s">
        <v>42</v>
      </c>
      <c r="BZ18" s="5">
        <v>109.95</v>
      </c>
      <c r="CA18" s="6">
        <v>133.0395</v>
      </c>
      <c r="CB18" s="5">
        <v>-20</v>
      </c>
      <c r="CC18" s="5">
        <v>-24.2</v>
      </c>
      <c r="CH18" s="5" t="s">
        <v>54</v>
      </c>
      <c r="CI18" s="5">
        <v>35</v>
      </c>
      <c r="CJ18" s="5">
        <f t="shared" si="1"/>
        <v>42.35</v>
      </c>
      <c r="CO18" s="5" t="s">
        <v>63</v>
      </c>
      <c r="CP18" s="5">
        <v>16</v>
      </c>
      <c r="CQ18" s="5">
        <f t="shared" si="0"/>
        <v>19.36</v>
      </c>
      <c r="CR18" s="5">
        <v>16</v>
      </c>
      <c r="CS18" s="5">
        <f t="shared" si="2"/>
        <v>19.36</v>
      </c>
    </row>
    <row r="19" spans="1:97" ht="15.75">
      <c r="A19" s="34"/>
      <c r="B19" s="83"/>
      <c r="C19" s="232" t="s">
        <v>410</v>
      </c>
      <c r="D19" s="232"/>
      <c r="E19" s="232"/>
      <c r="F19" s="232"/>
      <c r="G19" s="232"/>
      <c r="H19" s="232"/>
      <c r="I19" s="232"/>
      <c r="J19" s="232"/>
      <c r="K19" s="232"/>
      <c r="L19" s="232"/>
      <c r="M19" s="232"/>
      <c r="N19" s="232"/>
      <c r="O19" s="232"/>
      <c r="P19" s="232"/>
      <c r="Q19" s="232"/>
      <c r="R19" s="232"/>
      <c r="S19" s="232"/>
      <c r="T19" s="106"/>
      <c r="U19" s="102"/>
      <c r="V19" s="98" t="s">
        <v>323</v>
      </c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34"/>
      <c r="AQ19" s="67" t="s">
        <v>21</v>
      </c>
      <c r="BB19" s="64" t="s">
        <v>17</v>
      </c>
      <c r="BC19" s="64" t="s">
        <v>17</v>
      </c>
      <c r="BD19" s="65">
        <v>1</v>
      </c>
      <c r="BG19" s="64" t="s">
        <v>27</v>
      </c>
      <c r="BH19" s="66">
        <v>50</v>
      </c>
      <c r="BI19" s="66"/>
      <c r="BL19" s="25"/>
      <c r="BM19" s="25"/>
      <c r="BN19" s="25"/>
      <c r="BO19" s="25"/>
      <c r="BP19" s="31" t="s">
        <v>27</v>
      </c>
      <c r="BQ19" s="30">
        <f>BH19*VLOOKUP($AQ$19,$BB$9:$BD$18,3,0)</f>
        <v>60.5</v>
      </c>
      <c r="BR19" s="30"/>
      <c r="BY19" s="5" t="s">
        <v>43</v>
      </c>
      <c r="BZ19" s="5">
        <v>149.94999999999999</v>
      </c>
      <c r="CA19" s="6">
        <v>181.43949999999998</v>
      </c>
      <c r="CB19" s="5">
        <v>-30</v>
      </c>
      <c r="CC19" s="5">
        <v>-36.299999999999997</v>
      </c>
      <c r="CH19" s="5" t="s">
        <v>55</v>
      </c>
      <c r="CI19" s="5">
        <v>45</v>
      </c>
      <c r="CJ19" s="5">
        <f t="shared" si="1"/>
        <v>54.449999999999996</v>
      </c>
      <c r="CO19" s="5" t="s">
        <v>64</v>
      </c>
      <c r="CP19" s="5">
        <v>25</v>
      </c>
      <c r="CQ19" s="5">
        <f t="shared" si="0"/>
        <v>30.25</v>
      </c>
      <c r="CR19" s="5">
        <v>25</v>
      </c>
      <c r="CS19" s="5">
        <f t="shared" si="2"/>
        <v>30.25</v>
      </c>
    </row>
    <row r="20" spans="1:97" ht="19.5" customHeight="1">
      <c r="A20" s="34"/>
      <c r="B20" s="84"/>
      <c r="C20" s="143" t="s">
        <v>319</v>
      </c>
      <c r="D20" s="143"/>
      <c r="E20" s="143"/>
      <c r="F20" s="143"/>
      <c r="G20" s="143"/>
      <c r="H20" s="143"/>
      <c r="I20" s="100"/>
      <c r="J20" s="100"/>
      <c r="K20" s="100"/>
      <c r="L20" s="143" t="s">
        <v>94</v>
      </c>
      <c r="M20" s="143"/>
      <c r="N20" s="143"/>
      <c r="O20" s="99"/>
      <c r="P20" s="99"/>
      <c r="Q20" s="99"/>
      <c r="R20" s="100"/>
      <c r="S20" s="100"/>
      <c r="T20" s="106"/>
      <c r="U20" s="102"/>
      <c r="V20" s="98"/>
      <c r="W20" s="98"/>
      <c r="X20" s="98"/>
      <c r="Y20" s="98"/>
      <c r="Z20" s="98"/>
      <c r="AA20" s="98"/>
      <c r="AB20" s="98"/>
      <c r="AC20" s="98"/>
      <c r="AD20" s="98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34"/>
      <c r="BG20" s="64" t="s">
        <v>28</v>
      </c>
      <c r="BH20" s="66">
        <f>BH19+5</f>
        <v>55</v>
      </c>
      <c r="BI20" s="66"/>
      <c r="BL20" s="25"/>
      <c r="BM20" s="25"/>
      <c r="BN20" s="25"/>
      <c r="BO20" s="25"/>
      <c r="BP20" s="31" t="s">
        <v>28</v>
      </c>
      <c r="BQ20" s="30">
        <f>BH20*VLOOKUP($AQ$19,$BB$9:$BD$18,3,0)</f>
        <v>66.55</v>
      </c>
      <c r="BR20" s="30"/>
      <c r="BY20" s="5" t="s">
        <v>44</v>
      </c>
      <c r="BZ20" s="5">
        <v>189.95</v>
      </c>
      <c r="CA20" s="6">
        <v>229.83949999999999</v>
      </c>
      <c r="CB20" s="5">
        <v>-30</v>
      </c>
      <c r="CC20" s="5">
        <v>-36.299999999999997</v>
      </c>
      <c r="CH20" s="5" t="s">
        <v>56</v>
      </c>
      <c r="CI20" s="5">
        <v>45</v>
      </c>
      <c r="CJ20" s="5">
        <f t="shared" si="1"/>
        <v>54.449999999999996</v>
      </c>
      <c r="CO20" s="5" t="s">
        <v>65</v>
      </c>
      <c r="CP20" s="5">
        <v>39</v>
      </c>
      <c r="CQ20" s="5">
        <f t="shared" si="0"/>
        <v>47.19</v>
      </c>
      <c r="CR20" s="5">
        <v>39</v>
      </c>
      <c r="CS20" s="5">
        <f t="shared" si="2"/>
        <v>47.19</v>
      </c>
    </row>
    <row r="21" spans="1:97" ht="15.75">
      <c r="A21" s="34"/>
      <c r="B21" s="83"/>
      <c r="C21" s="232">
        <v>618763142</v>
      </c>
      <c r="D21" s="232"/>
      <c r="E21" s="232"/>
      <c r="F21" s="232"/>
      <c r="G21" s="232"/>
      <c r="H21" s="232"/>
      <c r="I21" s="232"/>
      <c r="J21" s="232"/>
      <c r="K21" s="101"/>
      <c r="L21" s="263" t="s">
        <v>411</v>
      </c>
      <c r="M21" s="239"/>
      <c r="N21" s="239"/>
      <c r="O21" s="239"/>
      <c r="P21" s="239"/>
      <c r="Q21" s="239"/>
      <c r="R21" s="239"/>
      <c r="S21" s="239"/>
      <c r="T21" s="106"/>
      <c r="U21" s="102"/>
      <c r="V21" s="102"/>
      <c r="W21" s="102"/>
      <c r="X21" s="102"/>
      <c r="Y21" s="102"/>
      <c r="Z21" s="102"/>
      <c r="AA21" s="206" t="s">
        <v>16</v>
      </c>
      <c r="AB21" s="206"/>
      <c r="AC21" s="206"/>
      <c r="AD21" s="206"/>
      <c r="AE21" s="110"/>
      <c r="AF21" s="206" t="s">
        <v>10</v>
      </c>
      <c r="AG21" s="206"/>
      <c r="AH21" s="206"/>
      <c r="AI21" s="206"/>
      <c r="AJ21" s="110"/>
      <c r="AK21" s="128" t="s">
        <v>11</v>
      </c>
      <c r="AL21" s="128"/>
      <c r="AM21" s="128"/>
      <c r="AN21" s="128"/>
      <c r="AO21" s="34"/>
      <c r="AQ21" s="149" t="s">
        <v>35</v>
      </c>
      <c r="AR21" s="68"/>
      <c r="AS21" s="68"/>
      <c r="AT21" s="68"/>
      <c r="BB21" s="64"/>
      <c r="BL21" s="25"/>
      <c r="BM21" s="25"/>
      <c r="BN21" s="25"/>
      <c r="BO21" s="25"/>
      <c r="BP21" s="25"/>
      <c r="BQ21" s="25"/>
      <c r="BR21" s="25"/>
      <c r="BY21" s="5" t="s">
        <v>75</v>
      </c>
      <c r="BZ21" s="5">
        <v>30.95</v>
      </c>
      <c r="CA21" s="5">
        <f t="shared" ref="CA21:CA28" si="3">BZ21*1.21</f>
        <v>37.4495</v>
      </c>
      <c r="CH21" s="5" t="s">
        <v>57</v>
      </c>
      <c r="CI21" s="5">
        <v>45</v>
      </c>
      <c r="CJ21" s="5">
        <f t="shared" si="1"/>
        <v>54.449999999999996</v>
      </c>
      <c r="CO21" s="5" t="s">
        <v>66</v>
      </c>
      <c r="CP21" s="5">
        <v>9</v>
      </c>
      <c r="CQ21" s="5">
        <f t="shared" si="0"/>
        <v>10.89</v>
      </c>
      <c r="CR21" s="5">
        <v>9</v>
      </c>
      <c r="CS21" s="5">
        <f t="shared" si="2"/>
        <v>10.89</v>
      </c>
    </row>
    <row r="22" spans="1:97" ht="15" customHeight="1">
      <c r="A22" s="34"/>
      <c r="B22" s="86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7"/>
      <c r="U22" s="102"/>
      <c r="V22" s="102"/>
      <c r="W22" s="102"/>
      <c r="X22" s="102"/>
      <c r="Y22" s="102"/>
      <c r="Z22" s="102"/>
      <c r="AA22" s="144"/>
      <c r="AB22" s="144"/>
      <c r="AC22" s="144"/>
      <c r="AD22" s="144"/>
      <c r="AE22" s="102"/>
      <c r="AF22" s="145"/>
      <c r="AG22" s="145"/>
      <c r="AH22" s="145"/>
      <c r="AI22" s="145"/>
      <c r="AJ22" s="102"/>
      <c r="AK22" s="198" t="str">
        <f>CONCATENATE("Con ",$AQ$19)</f>
        <v>Con IVA</v>
      </c>
      <c r="AL22" s="198"/>
      <c r="AM22" s="198"/>
      <c r="AN22" s="198"/>
      <c r="AO22" s="34"/>
      <c r="BB22" s="7"/>
      <c r="BC22" s="7"/>
      <c r="BD22" s="7"/>
      <c r="BE22" s="7"/>
      <c r="BF22" s="7"/>
      <c r="BG22" s="64" t="s">
        <v>26</v>
      </c>
      <c r="BH22" s="66">
        <v>9</v>
      </c>
      <c r="BI22" s="66"/>
      <c r="BJ22" s="7"/>
      <c r="BK22" s="7"/>
      <c r="BL22" s="33"/>
      <c r="BM22" s="33"/>
      <c r="BN22" s="33"/>
      <c r="BO22" s="33"/>
      <c r="BP22" s="31" t="s">
        <v>26</v>
      </c>
      <c r="BQ22" s="30">
        <f>BH22*VLOOKUP($AQ$19,$BB$9:$BD$18,3,0)</f>
        <v>10.89</v>
      </c>
      <c r="BR22" s="32"/>
      <c r="BS22" s="7"/>
      <c r="BT22" s="7"/>
      <c r="BU22" s="7"/>
      <c r="BV22" s="7"/>
      <c r="BW22" s="7"/>
      <c r="BX22" s="7"/>
      <c r="BY22" s="5" t="s">
        <v>76</v>
      </c>
      <c r="BZ22" s="5">
        <v>35.950000000000003</v>
      </c>
      <c r="CA22" s="5">
        <f t="shared" si="3"/>
        <v>43.499500000000005</v>
      </c>
      <c r="CB22" s="8"/>
      <c r="CC22" s="8"/>
      <c r="CD22" s="8"/>
      <c r="CE22" s="8"/>
      <c r="CH22" s="5" t="s">
        <v>58</v>
      </c>
      <c r="CI22" s="5">
        <v>55</v>
      </c>
      <c r="CJ22" s="5">
        <f t="shared" si="1"/>
        <v>66.55</v>
      </c>
      <c r="CO22" s="5" t="s">
        <v>67</v>
      </c>
      <c r="CP22" s="5">
        <v>35</v>
      </c>
      <c r="CQ22" s="5">
        <f t="shared" si="0"/>
        <v>42.35</v>
      </c>
      <c r="CR22" s="5">
        <v>35</v>
      </c>
      <c r="CS22" s="5">
        <f t="shared" si="2"/>
        <v>42.35</v>
      </c>
    </row>
    <row r="23" spans="1:97" ht="15" customHeight="1">
      <c r="A23" s="34"/>
      <c r="B23" s="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29" t="s">
        <v>2</v>
      </c>
      <c r="W23" s="129"/>
      <c r="X23" s="129"/>
      <c r="Y23" s="129"/>
      <c r="Z23" s="129"/>
      <c r="AA23" s="187">
        <v>954717082</v>
      </c>
      <c r="AB23" s="187"/>
      <c r="AC23" s="187"/>
      <c r="AD23" s="187"/>
      <c r="AE23" s="104"/>
      <c r="AF23" s="187" t="s">
        <v>417</v>
      </c>
      <c r="AG23" s="187"/>
      <c r="AH23" s="187"/>
      <c r="AI23" s="187"/>
      <c r="AJ23" s="104"/>
      <c r="AK23" s="194"/>
      <c r="AL23" s="195"/>
      <c r="AM23" s="195"/>
      <c r="AN23" s="196"/>
      <c r="AO23" s="34"/>
      <c r="AT23" s="5" t="s">
        <v>33</v>
      </c>
      <c r="BB23" s="7"/>
      <c r="BC23" s="7"/>
      <c r="BD23" s="7"/>
      <c r="BE23" s="7"/>
      <c r="BF23" s="7"/>
      <c r="BG23" s="64" t="s">
        <v>36</v>
      </c>
      <c r="BH23" s="66">
        <v>19</v>
      </c>
      <c r="BI23" s="66"/>
      <c r="BJ23" s="7"/>
      <c r="BK23" s="7"/>
      <c r="BL23" s="33"/>
      <c r="BM23" s="33"/>
      <c r="BN23" s="33"/>
      <c r="BO23" s="33"/>
      <c r="BP23" s="31" t="s">
        <v>36</v>
      </c>
      <c r="BQ23" s="30">
        <f>BH23*VLOOKUP($AQ$19,$BB$9:$BD$18,3,0)</f>
        <v>22.99</v>
      </c>
      <c r="BR23" s="32"/>
      <c r="BS23" s="7"/>
      <c r="BT23" s="7"/>
      <c r="BU23" s="7"/>
      <c r="BV23" s="7"/>
      <c r="BW23" s="7"/>
      <c r="BX23" s="7"/>
      <c r="BY23" s="5" t="s">
        <v>77</v>
      </c>
      <c r="BZ23" s="5">
        <v>35.950000000000003</v>
      </c>
      <c r="CA23" s="5">
        <f t="shared" si="3"/>
        <v>43.499500000000005</v>
      </c>
      <c r="CB23" s="8"/>
      <c r="CC23" s="8"/>
      <c r="CD23" s="8"/>
      <c r="CE23" s="8"/>
      <c r="CH23" s="5" t="s">
        <v>59</v>
      </c>
      <c r="CI23" s="5">
        <v>55</v>
      </c>
      <c r="CJ23" s="5">
        <f t="shared" si="1"/>
        <v>66.55</v>
      </c>
      <c r="CO23" s="5" t="s">
        <v>68</v>
      </c>
      <c r="CP23" s="5">
        <v>19</v>
      </c>
      <c r="CQ23" s="5">
        <f t="shared" si="0"/>
        <v>22.99</v>
      </c>
      <c r="CR23" s="5">
        <v>19</v>
      </c>
      <c r="CS23" s="5">
        <f t="shared" si="2"/>
        <v>22.99</v>
      </c>
    </row>
    <row r="24" spans="1:97" ht="15" customHeight="1">
      <c r="A24" s="34"/>
      <c r="B24" s="87"/>
      <c r="C24" s="130" t="s">
        <v>0</v>
      </c>
      <c r="D24" s="130"/>
      <c r="E24" s="130"/>
      <c r="F24" s="96"/>
      <c r="G24" s="96"/>
      <c r="H24" s="96"/>
      <c r="I24" s="97"/>
      <c r="J24" s="97"/>
      <c r="K24" s="97"/>
      <c r="L24" s="130" t="s">
        <v>1</v>
      </c>
      <c r="M24" s="96"/>
      <c r="N24" s="96"/>
      <c r="O24" s="96"/>
      <c r="P24" s="96"/>
      <c r="Q24" s="96"/>
      <c r="R24" s="97"/>
      <c r="S24" s="97"/>
      <c r="T24" s="108"/>
      <c r="U24" s="102"/>
      <c r="V24" s="234" t="s">
        <v>320</v>
      </c>
      <c r="W24" s="234"/>
      <c r="X24" s="234"/>
      <c r="Y24" s="234"/>
      <c r="Z24" s="234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34"/>
      <c r="AT24" s="5" t="s">
        <v>34</v>
      </c>
      <c r="BB24" s="7"/>
      <c r="BC24" s="7"/>
      <c r="BD24" s="7"/>
      <c r="BE24" s="7"/>
      <c r="BF24" s="7"/>
      <c r="BG24" s="64" t="s">
        <v>29</v>
      </c>
      <c r="BH24" s="66">
        <v>24</v>
      </c>
      <c r="BI24" s="66"/>
      <c r="BJ24" s="7"/>
      <c r="BK24" s="7"/>
      <c r="BL24" s="33"/>
      <c r="BM24" s="33"/>
      <c r="BN24" s="33"/>
      <c r="BO24" s="33"/>
      <c r="BP24" s="31" t="s">
        <v>29</v>
      </c>
      <c r="BQ24" s="30">
        <f>BH24*VLOOKUP($AQ$19,$BB$9:$BD$18,3,0)</f>
        <v>29.04</v>
      </c>
      <c r="BR24" s="32"/>
      <c r="BS24" s="7"/>
      <c r="BT24" s="7"/>
      <c r="BU24" s="7"/>
      <c r="BV24" s="7"/>
      <c r="BW24" s="7"/>
      <c r="BX24" s="7"/>
      <c r="BY24" s="5" t="s">
        <v>78</v>
      </c>
      <c r="BZ24" s="5">
        <v>35.950000000000003</v>
      </c>
      <c r="CA24" s="5">
        <f t="shared" si="3"/>
        <v>43.499500000000005</v>
      </c>
      <c r="CB24" s="8"/>
      <c r="CC24" s="8"/>
      <c r="CD24" s="8"/>
      <c r="CE24" s="8"/>
      <c r="CH24" s="5" t="s">
        <v>60</v>
      </c>
      <c r="CI24" s="5">
        <v>50</v>
      </c>
      <c r="CJ24" s="5">
        <f t="shared" si="1"/>
        <v>60.5</v>
      </c>
      <c r="CO24" s="5" t="s">
        <v>69</v>
      </c>
      <c r="CP24" s="5">
        <v>29</v>
      </c>
      <c r="CQ24" s="5">
        <f t="shared" si="0"/>
        <v>35.089999999999996</v>
      </c>
      <c r="CR24" s="5">
        <v>29</v>
      </c>
      <c r="CS24" s="5">
        <f t="shared" si="2"/>
        <v>35.089999999999996</v>
      </c>
    </row>
    <row r="25" spans="1:97" ht="18.75">
      <c r="A25" s="34"/>
      <c r="B25" s="83"/>
      <c r="C25" s="238"/>
      <c r="D25" s="238"/>
      <c r="E25" s="238"/>
      <c r="F25" s="238"/>
      <c r="G25" s="238"/>
      <c r="H25" s="238"/>
      <c r="I25" s="238"/>
      <c r="J25" s="238"/>
      <c r="K25" s="101"/>
      <c r="L25" s="232"/>
      <c r="M25" s="232"/>
      <c r="N25" s="232"/>
      <c r="O25" s="232"/>
      <c r="P25" s="232"/>
      <c r="Q25" s="232"/>
      <c r="R25" s="232"/>
      <c r="S25" s="232"/>
      <c r="T25" s="109"/>
      <c r="U25" s="104"/>
      <c r="V25" s="185" t="s">
        <v>324</v>
      </c>
      <c r="W25" s="185"/>
      <c r="X25" s="185"/>
      <c r="Y25" s="185"/>
      <c r="Z25" s="186"/>
      <c r="AA25" s="187">
        <v>640348702</v>
      </c>
      <c r="AB25" s="187"/>
      <c r="AC25" s="187"/>
      <c r="AD25" s="187"/>
      <c r="AE25" s="104"/>
      <c r="AF25" s="187" t="s">
        <v>417</v>
      </c>
      <c r="AG25" s="187"/>
      <c r="AH25" s="187"/>
      <c r="AI25" s="187"/>
      <c r="AJ25" s="104"/>
      <c r="AK25" s="194"/>
      <c r="AL25" s="195"/>
      <c r="AM25" s="195"/>
      <c r="AN25" s="196"/>
      <c r="AO25" s="34"/>
      <c r="AQ25" s="5" t="s">
        <v>33</v>
      </c>
      <c r="AT25" s="5" t="s">
        <v>32</v>
      </c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33"/>
      <c r="BM25" s="33"/>
      <c r="BN25" s="33"/>
      <c r="BO25" s="33"/>
      <c r="BP25" s="25"/>
      <c r="BQ25" s="25"/>
      <c r="BR25" s="25"/>
      <c r="BS25" s="7"/>
      <c r="BT25" s="7"/>
      <c r="BU25" s="7"/>
      <c r="BV25" s="7"/>
      <c r="BW25" s="7"/>
      <c r="BX25" s="7"/>
      <c r="BY25" s="5" t="s">
        <v>79</v>
      </c>
      <c r="BZ25" s="5">
        <v>28.95</v>
      </c>
      <c r="CA25" s="5">
        <f t="shared" si="3"/>
        <v>35.029499999999999</v>
      </c>
      <c r="CB25" s="8"/>
      <c r="CC25" s="8"/>
      <c r="CD25" s="8"/>
      <c r="CE25" s="8"/>
      <c r="CH25" s="5" t="s">
        <v>61</v>
      </c>
      <c r="CI25" s="5">
        <v>60</v>
      </c>
      <c r="CJ25" s="5">
        <f t="shared" si="1"/>
        <v>72.599999999999994</v>
      </c>
      <c r="CO25" s="5" t="s">
        <v>70</v>
      </c>
      <c r="CP25" s="5">
        <v>19</v>
      </c>
      <c r="CQ25" s="5">
        <f t="shared" si="0"/>
        <v>22.99</v>
      </c>
      <c r="CR25" s="5">
        <v>10</v>
      </c>
      <c r="CS25" s="5">
        <f t="shared" si="2"/>
        <v>12.1</v>
      </c>
    </row>
    <row r="26" spans="1:97" ht="18.75">
      <c r="A26" s="34"/>
      <c r="B26" s="84"/>
      <c r="C26" s="112" t="s">
        <v>95</v>
      </c>
      <c r="D26" s="112"/>
      <c r="E26" s="112"/>
      <c r="F26" s="100"/>
      <c r="G26" s="100"/>
      <c r="H26" s="100"/>
      <c r="I26" s="100"/>
      <c r="J26" s="100"/>
      <c r="K26" s="100"/>
      <c r="L26" s="112" t="s">
        <v>96</v>
      </c>
      <c r="M26" s="100"/>
      <c r="N26" s="100"/>
      <c r="O26" s="100"/>
      <c r="P26" s="100"/>
      <c r="Q26" s="100"/>
      <c r="R26" s="100"/>
      <c r="S26" s="100"/>
      <c r="T26" s="106"/>
      <c r="U26" s="102"/>
      <c r="V26" s="185" t="s">
        <v>325</v>
      </c>
      <c r="W26" s="185"/>
      <c r="X26" s="185"/>
      <c r="Y26" s="185"/>
      <c r="Z26" s="186"/>
      <c r="AA26" s="187">
        <v>617665734</v>
      </c>
      <c r="AB26" s="187"/>
      <c r="AC26" s="187"/>
      <c r="AD26" s="187"/>
      <c r="AE26" s="104"/>
      <c r="AF26" s="187" t="s">
        <v>417</v>
      </c>
      <c r="AG26" s="187"/>
      <c r="AH26" s="187"/>
      <c r="AI26" s="187"/>
      <c r="AJ26" s="104"/>
      <c r="AK26" s="194"/>
      <c r="AL26" s="195"/>
      <c r="AM26" s="195"/>
      <c r="AN26" s="196"/>
      <c r="AO26" s="34"/>
      <c r="AQ26" s="5" t="s">
        <v>33</v>
      </c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33"/>
      <c r="BM26" s="33"/>
      <c r="BN26" s="33"/>
      <c r="BO26" s="33"/>
      <c r="BP26" s="25"/>
      <c r="BQ26" s="25"/>
      <c r="BR26" s="25"/>
      <c r="BS26" s="7"/>
      <c r="BT26" s="7"/>
      <c r="BU26" s="7"/>
      <c r="BV26" s="7"/>
      <c r="BW26" s="7"/>
      <c r="BX26" s="7"/>
      <c r="BY26" s="5" t="s">
        <v>80</v>
      </c>
      <c r="BZ26" s="5">
        <v>25.95</v>
      </c>
      <c r="CA26" s="5">
        <f t="shared" si="3"/>
        <v>31.3995</v>
      </c>
      <c r="CB26" s="8"/>
      <c r="CC26" s="8"/>
      <c r="CD26" s="8"/>
      <c r="CE26" s="8"/>
      <c r="CH26" s="5" t="s">
        <v>62</v>
      </c>
      <c r="CI26" s="5">
        <v>60</v>
      </c>
      <c r="CJ26" s="5">
        <f t="shared" si="1"/>
        <v>72.599999999999994</v>
      </c>
      <c r="CO26" s="5" t="s">
        <v>71</v>
      </c>
      <c r="CP26" s="5">
        <v>24</v>
      </c>
      <c r="CQ26" s="5">
        <f t="shared" si="0"/>
        <v>29.04</v>
      </c>
      <c r="CR26" s="5">
        <v>15</v>
      </c>
      <c r="CS26" s="5">
        <f t="shared" si="2"/>
        <v>18.149999999999999</v>
      </c>
    </row>
    <row r="27" spans="1:97" ht="18.75">
      <c r="A27" s="34"/>
      <c r="B27" s="83"/>
      <c r="C27" s="250" t="s">
        <v>415</v>
      </c>
      <c r="D27" s="250"/>
      <c r="E27" s="250"/>
      <c r="F27" s="250"/>
      <c r="G27" s="250"/>
      <c r="H27" s="250"/>
      <c r="I27" s="250"/>
      <c r="J27" s="250"/>
      <c r="K27" s="101"/>
      <c r="L27" s="250" t="s">
        <v>414</v>
      </c>
      <c r="M27" s="250"/>
      <c r="N27" s="250"/>
      <c r="O27" s="250"/>
      <c r="P27" s="250"/>
      <c r="Q27" s="250"/>
      <c r="R27" s="250"/>
      <c r="S27" s="250"/>
      <c r="T27" s="109"/>
      <c r="U27" s="104"/>
      <c r="V27" s="185" t="s">
        <v>326</v>
      </c>
      <c r="W27" s="185"/>
      <c r="X27" s="185"/>
      <c r="Y27" s="185"/>
      <c r="Z27" s="186"/>
      <c r="AA27" s="187">
        <v>640384794</v>
      </c>
      <c r="AB27" s="187"/>
      <c r="AC27" s="187"/>
      <c r="AD27" s="187"/>
      <c r="AE27" s="104"/>
      <c r="AF27" s="187" t="s">
        <v>417</v>
      </c>
      <c r="AG27" s="187"/>
      <c r="AH27" s="187"/>
      <c r="AI27" s="187"/>
      <c r="AJ27" s="104"/>
      <c r="AK27" s="194"/>
      <c r="AL27" s="195"/>
      <c r="AM27" s="195"/>
      <c r="AN27" s="196"/>
      <c r="AO27" s="34"/>
      <c r="AQ27" s="5" t="s">
        <v>33</v>
      </c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33"/>
      <c r="BM27" s="33"/>
      <c r="BN27" s="33"/>
      <c r="BO27" s="33"/>
      <c r="BP27" s="25"/>
      <c r="BQ27" s="25"/>
      <c r="BR27" s="25"/>
      <c r="BS27" s="7"/>
      <c r="BT27" s="7"/>
      <c r="BU27" s="7"/>
      <c r="BV27" s="7"/>
      <c r="BW27" s="7"/>
      <c r="BX27" s="7"/>
      <c r="BY27" s="5" t="s">
        <v>81</v>
      </c>
      <c r="BZ27" s="5">
        <v>40.950000000000003</v>
      </c>
      <c r="CA27" s="5">
        <f t="shared" si="3"/>
        <v>49.549500000000002</v>
      </c>
      <c r="CB27" s="8"/>
      <c r="CC27" s="8"/>
      <c r="CD27" s="8"/>
      <c r="CE27" s="8"/>
      <c r="CH27" s="5" t="s">
        <v>63</v>
      </c>
      <c r="CI27" s="5">
        <v>16</v>
      </c>
      <c r="CJ27" s="5">
        <f t="shared" si="1"/>
        <v>19.36</v>
      </c>
      <c r="CO27" s="5" t="s">
        <v>72</v>
      </c>
      <c r="CP27" s="5">
        <v>9</v>
      </c>
      <c r="CQ27" s="5">
        <f t="shared" si="0"/>
        <v>10.89</v>
      </c>
      <c r="CR27" s="5">
        <v>5</v>
      </c>
      <c r="CS27" s="5">
        <f t="shared" si="2"/>
        <v>6.05</v>
      </c>
    </row>
    <row r="28" spans="1:97" ht="18.75">
      <c r="A28" s="34"/>
      <c r="B28" s="84"/>
      <c r="C28" s="143" t="s">
        <v>97</v>
      </c>
      <c r="D28" s="143"/>
      <c r="E28" s="143"/>
      <c r="F28" s="99"/>
      <c r="G28" s="99"/>
      <c r="H28" s="99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6"/>
      <c r="U28" s="102"/>
      <c r="V28" s="185" t="s">
        <v>327</v>
      </c>
      <c r="W28" s="185"/>
      <c r="X28" s="185"/>
      <c r="Y28" s="185"/>
      <c r="Z28" s="186"/>
      <c r="AA28" s="187">
        <v>655892896</v>
      </c>
      <c r="AB28" s="187"/>
      <c r="AC28" s="187"/>
      <c r="AD28" s="187"/>
      <c r="AE28" s="104"/>
      <c r="AF28" s="187" t="s">
        <v>417</v>
      </c>
      <c r="AG28" s="187"/>
      <c r="AH28" s="187"/>
      <c r="AI28" s="187"/>
      <c r="AJ28" s="104"/>
      <c r="AK28" s="194"/>
      <c r="AL28" s="195"/>
      <c r="AM28" s="195"/>
      <c r="AN28" s="196"/>
      <c r="AO28" s="34"/>
      <c r="AQ28" s="5" t="s">
        <v>33</v>
      </c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33"/>
      <c r="BM28" s="33"/>
      <c r="BN28" s="33"/>
      <c r="BO28" s="33"/>
      <c r="BP28" s="25"/>
      <c r="BQ28" s="25"/>
      <c r="BR28" s="25"/>
      <c r="BS28" s="7"/>
      <c r="BT28" s="7"/>
      <c r="BU28" s="7"/>
      <c r="BV28" s="7"/>
      <c r="BW28" s="7"/>
      <c r="BX28" s="7"/>
      <c r="BY28" s="5" t="s">
        <v>82</v>
      </c>
      <c r="BZ28" s="5">
        <v>40.950000000000003</v>
      </c>
      <c r="CA28" s="5">
        <f t="shared" si="3"/>
        <v>49.549500000000002</v>
      </c>
      <c r="CB28" s="8"/>
      <c r="CC28" s="8"/>
      <c r="CD28" s="8"/>
      <c r="CE28" s="8"/>
      <c r="CH28" s="5" t="s">
        <v>64</v>
      </c>
      <c r="CI28" s="5">
        <v>25</v>
      </c>
      <c r="CJ28" s="5">
        <f t="shared" si="1"/>
        <v>30.25</v>
      </c>
      <c r="CO28" s="5" t="s">
        <v>73</v>
      </c>
      <c r="CP28" s="5">
        <v>10</v>
      </c>
      <c r="CQ28" s="5">
        <f t="shared" si="0"/>
        <v>12.1</v>
      </c>
      <c r="CR28" s="5">
        <v>10</v>
      </c>
      <c r="CS28" s="5">
        <f t="shared" si="2"/>
        <v>12.1</v>
      </c>
    </row>
    <row r="29" spans="1:97" ht="18.75">
      <c r="A29" s="34"/>
      <c r="B29" s="83"/>
      <c r="C29" s="232" t="s">
        <v>416</v>
      </c>
      <c r="D29" s="232"/>
      <c r="E29" s="232"/>
      <c r="F29" s="232"/>
      <c r="G29" s="232"/>
      <c r="H29" s="232"/>
      <c r="I29" s="232"/>
      <c r="J29" s="232"/>
      <c r="K29" s="232"/>
      <c r="L29" s="232"/>
      <c r="M29" s="232"/>
      <c r="N29" s="232"/>
      <c r="O29" s="232"/>
      <c r="P29" s="232"/>
      <c r="Q29" s="232"/>
      <c r="R29" s="232"/>
      <c r="S29" s="232"/>
      <c r="T29" s="109"/>
      <c r="U29" s="104"/>
      <c r="V29" s="185" t="s">
        <v>328</v>
      </c>
      <c r="W29" s="185"/>
      <c r="X29" s="185"/>
      <c r="Y29" s="185"/>
      <c r="Z29" s="186"/>
      <c r="AA29" s="187">
        <v>657924857</v>
      </c>
      <c r="AB29" s="187"/>
      <c r="AC29" s="187"/>
      <c r="AD29" s="187"/>
      <c r="AE29" s="104"/>
      <c r="AF29" s="187"/>
      <c r="AG29" s="187"/>
      <c r="AH29" s="187"/>
      <c r="AI29" s="187"/>
      <c r="AJ29" s="104"/>
      <c r="AK29" s="194"/>
      <c r="AL29" s="195"/>
      <c r="AM29" s="195"/>
      <c r="AN29" s="196"/>
      <c r="AO29" s="34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33"/>
      <c r="BM29" s="33"/>
      <c r="BN29" s="33"/>
      <c r="BO29" s="33"/>
      <c r="BP29" s="25" t="s">
        <v>75</v>
      </c>
      <c r="BQ29" s="25">
        <v>30.95</v>
      </c>
      <c r="BR29" s="25">
        <f t="shared" ref="BR29:BR34" si="4">BQ29*1.21</f>
        <v>37.4495</v>
      </c>
      <c r="BS29" s="7"/>
      <c r="BT29" s="7"/>
      <c r="BU29" s="7"/>
      <c r="BV29" s="7"/>
      <c r="BW29" s="7"/>
      <c r="BX29" s="7"/>
      <c r="BY29" s="7"/>
      <c r="BZ29" s="7"/>
      <c r="CA29" s="8"/>
      <c r="CB29" s="8"/>
      <c r="CC29" s="8"/>
      <c r="CD29" s="8"/>
      <c r="CE29" s="8"/>
      <c r="CH29" s="5" t="s">
        <v>65</v>
      </c>
      <c r="CI29" s="5">
        <v>39</v>
      </c>
      <c r="CJ29" s="5">
        <f t="shared" si="1"/>
        <v>47.19</v>
      </c>
    </row>
    <row r="30" spans="1:97" ht="18.75">
      <c r="A30" s="76"/>
      <c r="B30" s="84"/>
      <c r="C30" s="143" t="s">
        <v>319</v>
      </c>
      <c r="D30" s="143"/>
      <c r="E30" s="143"/>
      <c r="F30" s="143"/>
      <c r="G30" s="143"/>
      <c r="H30" s="143"/>
      <c r="I30" s="100"/>
      <c r="J30" s="100"/>
      <c r="K30" s="100"/>
      <c r="L30" s="143" t="s">
        <v>94</v>
      </c>
      <c r="M30" s="143"/>
      <c r="N30" s="143"/>
      <c r="O30" s="99"/>
      <c r="P30" s="99"/>
      <c r="Q30" s="99"/>
      <c r="R30" s="100"/>
      <c r="S30" s="100"/>
      <c r="T30" s="106"/>
      <c r="U30" s="102"/>
      <c r="V30" s="185" t="s">
        <v>329</v>
      </c>
      <c r="W30" s="185"/>
      <c r="X30" s="185"/>
      <c r="Y30" s="185"/>
      <c r="Z30" s="186"/>
      <c r="AA30" s="187"/>
      <c r="AB30" s="187"/>
      <c r="AC30" s="187"/>
      <c r="AD30" s="187"/>
      <c r="AE30" s="104"/>
      <c r="AF30" s="187"/>
      <c r="AG30" s="187"/>
      <c r="AH30" s="187"/>
      <c r="AI30" s="187"/>
      <c r="AJ30" s="104"/>
      <c r="AK30" s="194"/>
      <c r="AL30" s="195"/>
      <c r="AM30" s="195"/>
      <c r="AN30" s="196"/>
      <c r="AO30" s="34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33"/>
      <c r="BM30" s="33"/>
      <c r="BN30" s="33"/>
      <c r="BO30" s="33"/>
      <c r="BP30" s="25" t="s">
        <v>76</v>
      </c>
      <c r="BQ30" s="25">
        <v>35.950000000000003</v>
      </c>
      <c r="BR30" s="25">
        <f t="shared" si="4"/>
        <v>43.499500000000005</v>
      </c>
      <c r="BS30" s="7"/>
      <c r="BT30" s="7"/>
      <c r="BU30" s="7"/>
      <c r="BV30" s="7"/>
      <c r="BW30" s="7"/>
      <c r="BX30" s="7"/>
      <c r="BY30" s="7"/>
      <c r="BZ30" s="7"/>
      <c r="CA30" s="8"/>
      <c r="CB30" s="8"/>
      <c r="CC30" s="8"/>
      <c r="CD30" s="8"/>
      <c r="CE30" s="8"/>
      <c r="CH30" s="5" t="s">
        <v>66</v>
      </c>
      <c r="CI30" s="5">
        <v>9</v>
      </c>
      <c r="CJ30" s="5">
        <f t="shared" si="1"/>
        <v>10.89</v>
      </c>
    </row>
    <row r="31" spans="1:97" ht="18.75">
      <c r="A31" s="76"/>
      <c r="B31" s="83"/>
      <c r="C31" s="232">
        <v>954717082</v>
      </c>
      <c r="D31" s="232"/>
      <c r="E31" s="232"/>
      <c r="F31" s="232"/>
      <c r="G31" s="232"/>
      <c r="H31" s="232"/>
      <c r="I31" s="232"/>
      <c r="J31" s="232"/>
      <c r="K31" s="101"/>
      <c r="L31" s="263"/>
      <c r="M31" s="239"/>
      <c r="N31" s="239"/>
      <c r="O31" s="239"/>
      <c r="P31" s="239"/>
      <c r="Q31" s="239"/>
      <c r="R31" s="239"/>
      <c r="S31" s="239"/>
      <c r="T31" s="109"/>
      <c r="U31" s="104"/>
      <c r="V31" s="185" t="s">
        <v>330</v>
      </c>
      <c r="W31" s="185"/>
      <c r="X31" s="185"/>
      <c r="Y31" s="185"/>
      <c r="Z31" s="186"/>
      <c r="AA31" s="187"/>
      <c r="AB31" s="187"/>
      <c r="AC31" s="187"/>
      <c r="AD31" s="187"/>
      <c r="AE31" s="104"/>
      <c r="AF31" s="187"/>
      <c r="AG31" s="187"/>
      <c r="AH31" s="187"/>
      <c r="AI31" s="187"/>
      <c r="AJ31" s="104"/>
      <c r="AK31" s="194"/>
      <c r="AL31" s="195"/>
      <c r="AM31" s="195"/>
      <c r="AN31" s="196"/>
      <c r="AO31" s="34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33"/>
      <c r="BM31" s="33"/>
      <c r="BN31" s="33"/>
      <c r="BO31" s="33"/>
      <c r="BP31" s="25" t="s">
        <v>77</v>
      </c>
      <c r="BQ31" s="25">
        <v>35.950000000000003</v>
      </c>
      <c r="BR31" s="25">
        <f t="shared" si="4"/>
        <v>43.499500000000005</v>
      </c>
      <c r="BS31" s="7"/>
      <c r="BT31" s="7"/>
      <c r="BU31" s="7"/>
      <c r="BV31" s="7"/>
      <c r="BW31" s="7"/>
      <c r="BX31" s="7"/>
      <c r="BY31" s="7"/>
      <c r="BZ31" s="7"/>
      <c r="CA31" s="8"/>
      <c r="CB31" s="8"/>
      <c r="CC31" s="8"/>
      <c r="CD31" s="8"/>
      <c r="CE31" s="8"/>
      <c r="CH31" s="5" t="s">
        <v>67</v>
      </c>
      <c r="CI31" s="5">
        <v>35</v>
      </c>
      <c r="CJ31" s="5">
        <f t="shared" si="1"/>
        <v>42.35</v>
      </c>
    </row>
    <row r="32" spans="1:97" ht="18.75">
      <c r="A32" s="76"/>
      <c r="B32" s="84"/>
      <c r="C32" s="143" t="s">
        <v>98</v>
      </c>
      <c r="D32" s="143"/>
      <c r="E32" s="143"/>
      <c r="F32" s="143"/>
      <c r="G32" s="143"/>
      <c r="H32" s="143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6"/>
      <c r="U32" s="102"/>
      <c r="V32" s="185" t="s">
        <v>331</v>
      </c>
      <c r="W32" s="185"/>
      <c r="X32" s="185"/>
      <c r="Y32" s="185"/>
      <c r="Z32" s="186"/>
      <c r="AA32" s="187"/>
      <c r="AB32" s="187"/>
      <c r="AC32" s="187"/>
      <c r="AD32" s="187"/>
      <c r="AE32" s="104"/>
      <c r="AF32" s="187"/>
      <c r="AG32" s="187"/>
      <c r="AH32" s="187"/>
      <c r="AI32" s="187"/>
      <c r="AJ32" s="104"/>
      <c r="AK32" s="194"/>
      <c r="AL32" s="195"/>
      <c r="AM32" s="195"/>
      <c r="AN32" s="196"/>
      <c r="AO32" s="34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34"/>
      <c r="BM32" s="34"/>
      <c r="BN32" s="33"/>
      <c r="BO32" s="33"/>
      <c r="BP32" s="25" t="s">
        <v>78</v>
      </c>
      <c r="BQ32" s="25">
        <v>35.950000000000003</v>
      </c>
      <c r="BR32" s="25">
        <f t="shared" si="4"/>
        <v>43.499500000000005</v>
      </c>
      <c r="BS32" s="7"/>
      <c r="BT32" s="7"/>
      <c r="BU32" s="7"/>
      <c r="BV32" s="7"/>
      <c r="BW32" s="7"/>
      <c r="BX32" s="7"/>
      <c r="BY32" s="7"/>
      <c r="BZ32" s="7"/>
      <c r="CA32" s="8"/>
      <c r="CB32" s="8"/>
      <c r="CC32" s="8"/>
      <c r="CD32" s="8"/>
      <c r="CE32" s="8"/>
      <c r="CH32" s="5" t="s">
        <v>68</v>
      </c>
      <c r="CI32" s="5">
        <v>19</v>
      </c>
      <c r="CJ32" s="5">
        <f t="shared" si="1"/>
        <v>22.99</v>
      </c>
    </row>
    <row r="33" spans="1:88" ht="18.75">
      <c r="A33" s="76"/>
      <c r="B33" s="83"/>
      <c r="C33" s="233"/>
      <c r="D33" s="233"/>
      <c r="E33" s="233"/>
      <c r="F33" s="233"/>
      <c r="G33" s="233"/>
      <c r="H33" s="233"/>
      <c r="I33" s="233"/>
      <c r="J33" s="233"/>
      <c r="K33" s="100"/>
      <c r="L33" s="100"/>
      <c r="M33" s="100"/>
      <c r="N33" s="100"/>
      <c r="O33" s="100"/>
      <c r="P33" s="100"/>
      <c r="Q33" s="100"/>
      <c r="R33" s="100"/>
      <c r="S33" s="100"/>
      <c r="T33" s="106"/>
      <c r="U33" s="104"/>
      <c r="V33" s="185" t="s">
        <v>332</v>
      </c>
      <c r="W33" s="185"/>
      <c r="X33" s="185"/>
      <c r="Y33" s="185"/>
      <c r="Z33" s="186"/>
      <c r="AA33" s="187"/>
      <c r="AB33" s="187"/>
      <c r="AC33" s="187"/>
      <c r="AD33" s="187"/>
      <c r="AE33" s="104"/>
      <c r="AF33" s="187"/>
      <c r="AG33" s="187"/>
      <c r="AH33" s="187"/>
      <c r="AI33" s="187"/>
      <c r="AJ33" s="104"/>
      <c r="AK33" s="194"/>
      <c r="AL33" s="195"/>
      <c r="AM33" s="195"/>
      <c r="AN33" s="196"/>
      <c r="AO33" s="34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34"/>
      <c r="BM33" s="34"/>
      <c r="BN33" s="33"/>
      <c r="BO33" s="33"/>
      <c r="BP33" s="25" t="s">
        <v>79</v>
      </c>
      <c r="BQ33" s="25">
        <v>30.95</v>
      </c>
      <c r="BR33" s="25">
        <f t="shared" si="4"/>
        <v>37.4495</v>
      </c>
      <c r="BS33" s="7"/>
      <c r="BT33" s="7"/>
      <c r="BU33" s="7"/>
      <c r="BV33" s="7"/>
      <c r="BW33" s="7"/>
      <c r="BX33" s="7"/>
      <c r="BY33" s="7"/>
      <c r="BZ33" s="7"/>
      <c r="CA33" s="8"/>
      <c r="CB33" s="8"/>
      <c r="CC33" s="8"/>
      <c r="CD33" s="8"/>
      <c r="CE33" s="8"/>
      <c r="CH33" s="5" t="s">
        <v>69</v>
      </c>
      <c r="CI33" s="5">
        <v>29</v>
      </c>
      <c r="CJ33" s="5">
        <f t="shared" si="1"/>
        <v>35.089999999999996</v>
      </c>
    </row>
    <row r="34" spans="1:88" ht="18.75">
      <c r="A34" s="76"/>
      <c r="B34" s="86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 t="s">
        <v>13</v>
      </c>
      <c r="S34" s="103"/>
      <c r="T34" s="107"/>
      <c r="U34" s="102"/>
      <c r="V34" s="185" t="s">
        <v>333</v>
      </c>
      <c r="W34" s="185"/>
      <c r="X34" s="185"/>
      <c r="Y34" s="185"/>
      <c r="Z34" s="186"/>
      <c r="AA34" s="187"/>
      <c r="AB34" s="187"/>
      <c r="AC34" s="187"/>
      <c r="AD34" s="187"/>
      <c r="AE34" s="104"/>
      <c r="AF34" s="187"/>
      <c r="AG34" s="187"/>
      <c r="AH34" s="187"/>
      <c r="AI34" s="187"/>
      <c r="AJ34" s="104"/>
      <c r="AK34" s="194"/>
      <c r="AL34" s="195"/>
      <c r="AM34" s="195"/>
      <c r="AN34" s="196"/>
      <c r="AO34" s="34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34"/>
      <c r="BM34" s="34"/>
      <c r="BN34" s="33"/>
      <c r="BO34" s="33"/>
      <c r="BP34" s="25" t="s">
        <v>80</v>
      </c>
      <c r="BQ34" s="25">
        <v>25.95</v>
      </c>
      <c r="BR34" s="25">
        <f t="shared" si="4"/>
        <v>31.3995</v>
      </c>
      <c r="BS34" s="7"/>
      <c r="BT34" s="7"/>
      <c r="BU34" s="7"/>
      <c r="BV34" s="7"/>
      <c r="BW34" s="7"/>
      <c r="BX34" s="7"/>
      <c r="BY34" s="7"/>
      <c r="BZ34" s="7"/>
      <c r="CA34" s="8"/>
      <c r="CB34" s="8"/>
      <c r="CC34" s="8"/>
      <c r="CD34" s="8"/>
      <c r="CE34" s="8"/>
      <c r="CH34" s="5" t="s">
        <v>73</v>
      </c>
      <c r="CI34" s="5">
        <v>10</v>
      </c>
      <c r="CJ34" s="5">
        <f t="shared" si="1"/>
        <v>12.1</v>
      </c>
    </row>
    <row r="35" spans="1:88" ht="15.75">
      <c r="A35" s="76"/>
      <c r="B35" s="85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2"/>
      <c r="V35" s="185" t="s">
        <v>283</v>
      </c>
      <c r="W35" s="185"/>
      <c r="X35" s="185"/>
      <c r="Y35" s="185"/>
      <c r="Z35" s="185"/>
      <c r="AA35" s="187">
        <v>955000000</v>
      </c>
      <c r="AB35" s="187"/>
      <c r="AC35" s="187"/>
      <c r="AD35" s="187"/>
      <c r="AE35" s="104"/>
      <c r="AF35" s="187" t="s">
        <v>412</v>
      </c>
      <c r="AG35" s="187"/>
      <c r="AH35" s="187"/>
      <c r="AI35" s="187"/>
      <c r="AJ35" s="104"/>
      <c r="AK35" s="197"/>
      <c r="AL35" s="197"/>
      <c r="AM35" s="197"/>
      <c r="AN35" s="197"/>
      <c r="AO35" s="34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34"/>
      <c r="BM35" s="34"/>
      <c r="BN35" s="33"/>
      <c r="BO35" s="33"/>
      <c r="BP35" s="25"/>
      <c r="BQ35" s="25"/>
      <c r="BR35" s="25"/>
      <c r="BS35" s="7"/>
      <c r="BT35" s="7"/>
      <c r="BU35" s="7"/>
      <c r="BV35" s="7"/>
      <c r="BW35" s="7"/>
      <c r="BX35" s="7"/>
      <c r="BY35" s="7"/>
      <c r="BZ35" s="7"/>
      <c r="CA35" s="8"/>
      <c r="CB35" s="8"/>
      <c r="CC35" s="8"/>
      <c r="CD35" s="8"/>
      <c r="CE35" s="8"/>
    </row>
    <row r="36" spans="1:88" ht="15.75">
      <c r="A36" s="76"/>
      <c r="B36" s="85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2"/>
      <c r="V36" s="185" t="s">
        <v>284</v>
      </c>
      <c r="W36" s="185"/>
      <c r="X36" s="185"/>
      <c r="Y36" s="185"/>
      <c r="Z36" s="185"/>
      <c r="AA36" s="187"/>
      <c r="AB36" s="187"/>
      <c r="AC36" s="187"/>
      <c r="AD36" s="187"/>
      <c r="AE36" s="104"/>
      <c r="AF36" s="187"/>
      <c r="AG36" s="187"/>
      <c r="AH36" s="187"/>
      <c r="AI36" s="187"/>
      <c r="AJ36" s="104"/>
      <c r="AK36" s="197"/>
      <c r="AL36" s="197"/>
      <c r="AM36" s="197"/>
      <c r="AN36" s="197"/>
      <c r="AO36" s="34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34"/>
      <c r="BM36" s="34"/>
      <c r="BN36" s="33"/>
      <c r="BO36" s="33"/>
      <c r="BP36" s="25"/>
      <c r="BQ36" s="25"/>
      <c r="BR36" s="25"/>
      <c r="BS36" s="7"/>
      <c r="BT36" s="7"/>
      <c r="BU36" s="7"/>
      <c r="BV36" s="7"/>
      <c r="BW36" s="7"/>
      <c r="BX36" s="7"/>
      <c r="BY36" s="7"/>
      <c r="BZ36" s="7"/>
      <c r="CA36" s="8"/>
      <c r="CB36" s="8"/>
      <c r="CC36" s="8"/>
      <c r="CD36" s="8"/>
      <c r="CE36" s="8"/>
    </row>
    <row r="37" spans="1:88" ht="12" customHeight="1" thickBot="1">
      <c r="A37" s="76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34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34"/>
      <c r="BM37" s="34"/>
      <c r="BN37" s="33"/>
      <c r="BO37" s="33"/>
      <c r="BP37" s="33"/>
      <c r="BQ37" s="33"/>
      <c r="BR37" s="33"/>
      <c r="BS37" s="7"/>
      <c r="BT37" s="7"/>
      <c r="BU37" s="7"/>
      <c r="BV37" s="7"/>
      <c r="BW37" s="7"/>
      <c r="BX37" s="7"/>
      <c r="BY37" s="7"/>
      <c r="BZ37" s="7"/>
      <c r="CA37" s="8"/>
      <c r="CB37" s="8"/>
      <c r="CC37" s="8"/>
      <c r="CD37" s="8"/>
      <c r="CE37" s="8"/>
    </row>
    <row r="38" spans="1:88" ht="18" customHeight="1">
      <c r="A38" s="76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2"/>
      <c r="V38" s="2"/>
      <c r="W38" s="2"/>
      <c r="X38" s="2"/>
      <c r="Y38" s="2"/>
      <c r="Z38" s="2"/>
      <c r="AA38" s="2"/>
      <c r="AB38" s="2"/>
      <c r="AC38" s="2"/>
      <c r="AD38" s="218" t="s">
        <v>4</v>
      </c>
      <c r="AE38" s="218"/>
      <c r="AF38" s="218"/>
      <c r="AG38" s="218"/>
      <c r="AH38" s="218"/>
      <c r="AI38" s="218"/>
      <c r="AJ38" s="2"/>
      <c r="AK38" s="199">
        <v>145</v>
      </c>
      <c r="AL38" s="200"/>
      <c r="AM38" s="200"/>
      <c r="AN38" s="201"/>
      <c r="AO38" s="34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34"/>
      <c r="BM38" s="34"/>
      <c r="BN38" s="33"/>
      <c r="BO38" s="33"/>
      <c r="BP38" s="25" t="s">
        <v>86</v>
      </c>
      <c r="BQ38" s="25">
        <v>2</v>
      </c>
      <c r="BR38" s="25">
        <f t="shared" ref="BR38:BR45" si="5">BQ38*1.21</f>
        <v>2.42</v>
      </c>
      <c r="BS38" s="7"/>
      <c r="BT38" s="7"/>
      <c r="BU38" s="7"/>
      <c r="BV38" s="7"/>
      <c r="BW38" s="7"/>
      <c r="BX38" s="7"/>
      <c r="BY38" s="7"/>
      <c r="BZ38" s="7"/>
      <c r="CA38" s="8"/>
      <c r="CB38" s="8"/>
      <c r="CC38" s="8"/>
      <c r="CD38" s="8"/>
      <c r="CE38" s="8"/>
    </row>
    <row r="39" spans="1:88" ht="18.75" customHeight="1" thickBot="1">
      <c r="A39" s="34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18"/>
      <c r="AE39" s="218"/>
      <c r="AF39" s="218"/>
      <c r="AG39" s="218"/>
      <c r="AH39" s="218"/>
      <c r="AI39" s="218"/>
      <c r="AJ39" s="2"/>
      <c r="AK39" s="202"/>
      <c r="AL39" s="203"/>
      <c r="AM39" s="203"/>
      <c r="AN39" s="204"/>
      <c r="AO39" s="34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34"/>
      <c r="BM39" s="34"/>
      <c r="BN39" s="33"/>
      <c r="BO39" s="33"/>
      <c r="BP39" s="25" t="s">
        <v>85</v>
      </c>
      <c r="BQ39" s="25">
        <v>3</v>
      </c>
      <c r="BR39" s="25">
        <f t="shared" si="5"/>
        <v>3.63</v>
      </c>
      <c r="BS39" s="7"/>
      <c r="BT39" s="7"/>
      <c r="BU39" s="7"/>
      <c r="BV39" s="7"/>
      <c r="BW39" s="7"/>
      <c r="BX39" s="7"/>
      <c r="BY39" s="7"/>
      <c r="BZ39" s="7"/>
      <c r="CA39" s="8"/>
      <c r="CB39" s="8"/>
      <c r="CC39" s="8"/>
      <c r="CD39" s="8"/>
      <c r="CE39" s="8"/>
    </row>
    <row r="40" spans="1:88" ht="18.75" customHeight="1">
      <c r="A40" s="34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154"/>
      <c r="AE40" s="154"/>
      <c r="AF40" s="154"/>
      <c r="AG40" s="154"/>
      <c r="AH40" s="154"/>
      <c r="AI40" s="154"/>
      <c r="AJ40" s="2"/>
      <c r="AK40" s="156"/>
      <c r="AL40" s="156"/>
      <c r="AM40" s="156"/>
      <c r="AN40" s="156"/>
      <c r="AO40" s="34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34"/>
      <c r="BM40" s="34"/>
      <c r="BN40" s="33"/>
      <c r="BO40" s="33"/>
      <c r="BP40" s="25"/>
      <c r="BQ40" s="25"/>
      <c r="BR40" s="25"/>
      <c r="BS40" s="7"/>
      <c r="BT40" s="7"/>
      <c r="BU40" s="7"/>
      <c r="BV40" s="7"/>
      <c r="BW40" s="7"/>
      <c r="BX40" s="7"/>
      <c r="BY40" s="7"/>
      <c r="BZ40" s="7"/>
      <c r="CA40" s="8"/>
      <c r="CB40" s="8"/>
      <c r="CC40" s="8"/>
      <c r="CD40" s="8"/>
      <c r="CE40" s="8"/>
    </row>
    <row r="41" spans="1:88" ht="18.75" customHeight="1">
      <c r="A41" s="34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154"/>
      <c r="AE41" s="154"/>
      <c r="AF41" s="154"/>
      <c r="AG41" s="154"/>
      <c r="AH41" s="154"/>
      <c r="AI41" s="154"/>
      <c r="AJ41" s="2"/>
      <c r="AK41" s="156"/>
      <c r="AL41" s="156"/>
      <c r="AM41" s="156"/>
      <c r="AN41" s="156"/>
      <c r="AO41" s="34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34"/>
      <c r="BM41" s="34"/>
      <c r="BN41" s="33"/>
      <c r="BO41" s="33"/>
      <c r="BP41" s="25"/>
      <c r="BQ41" s="25"/>
      <c r="BR41" s="25"/>
      <c r="BS41" s="7"/>
      <c r="BT41" s="7"/>
      <c r="BU41" s="7"/>
      <c r="BV41" s="7"/>
      <c r="BW41" s="7"/>
      <c r="BX41" s="7"/>
      <c r="BY41" s="7"/>
      <c r="BZ41" s="7"/>
      <c r="CA41" s="8"/>
      <c r="CB41" s="8"/>
      <c r="CC41" s="8"/>
      <c r="CD41" s="8"/>
      <c r="CE41" s="8"/>
    </row>
    <row r="42" spans="1:88" ht="18.75" customHeight="1">
      <c r="A42" s="34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154"/>
      <c r="AE42" s="154"/>
      <c r="AF42" s="154"/>
      <c r="AG42" s="154"/>
      <c r="AH42" s="154"/>
      <c r="AI42" s="154"/>
      <c r="AJ42" s="2"/>
      <c r="AK42" s="156"/>
      <c r="AL42" s="156"/>
      <c r="AM42" s="156"/>
      <c r="AN42" s="156"/>
      <c r="AO42" s="34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34"/>
      <c r="BM42" s="34"/>
      <c r="BN42" s="33"/>
      <c r="BO42" s="33"/>
      <c r="BP42" s="25"/>
      <c r="BQ42" s="25"/>
      <c r="BR42" s="25"/>
      <c r="BS42" s="7"/>
      <c r="BT42" s="7"/>
      <c r="BU42" s="7"/>
      <c r="BV42" s="7"/>
      <c r="BW42" s="7"/>
      <c r="BX42" s="7"/>
      <c r="BY42" s="7"/>
      <c r="BZ42" s="7"/>
      <c r="CA42" s="8"/>
      <c r="CB42" s="8"/>
      <c r="CC42" s="8"/>
      <c r="CD42" s="8"/>
      <c r="CE42" s="8"/>
    </row>
    <row r="43" spans="1:88" ht="15" customHeight="1">
      <c r="A43" s="34"/>
      <c r="B43" s="219" t="s">
        <v>88</v>
      </c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88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34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34"/>
      <c r="BM43" s="34"/>
      <c r="BN43" s="33"/>
      <c r="BO43" s="33"/>
      <c r="BP43" s="25" t="s">
        <v>74</v>
      </c>
      <c r="BQ43" s="25">
        <v>3</v>
      </c>
      <c r="BR43" s="25">
        <f t="shared" si="5"/>
        <v>3.63</v>
      </c>
      <c r="BS43" s="7"/>
      <c r="BT43" s="7"/>
      <c r="BU43" s="7"/>
      <c r="BV43" s="7"/>
      <c r="BW43" s="7"/>
      <c r="BX43" s="7"/>
      <c r="BY43" s="7"/>
      <c r="BZ43" s="7"/>
      <c r="CA43" s="8"/>
      <c r="CB43" s="8"/>
      <c r="CC43" s="8"/>
      <c r="CD43" s="8"/>
      <c r="CE43" s="8"/>
    </row>
    <row r="44" spans="1:88" ht="15" customHeight="1">
      <c r="A44" s="34"/>
      <c r="B44" s="220"/>
      <c r="C44" s="220"/>
      <c r="D44" s="220"/>
      <c r="E44" s="220"/>
      <c r="F44" s="220"/>
      <c r="G44" s="220"/>
      <c r="H44" s="220"/>
      <c r="I44" s="220"/>
      <c r="J44" s="220"/>
      <c r="K44" s="220"/>
      <c r="L44" s="220"/>
      <c r="M44" s="220"/>
      <c r="N44" s="220"/>
      <c r="O44" s="220"/>
      <c r="P44" s="220"/>
      <c r="Q44" s="220"/>
      <c r="R44" s="220"/>
      <c r="S44" s="220"/>
      <c r="T44" s="89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34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33"/>
      <c r="BM44" s="33"/>
      <c r="BN44" s="33"/>
      <c r="BO44" s="33"/>
      <c r="BP44" s="25" t="s">
        <v>83</v>
      </c>
      <c r="BQ44" s="25">
        <v>19</v>
      </c>
      <c r="BR44" s="25">
        <f t="shared" si="5"/>
        <v>22.99</v>
      </c>
      <c r="BS44" s="7"/>
      <c r="BT44" s="7"/>
      <c r="BU44" s="7"/>
      <c r="BV44" s="7"/>
      <c r="BW44" s="7"/>
      <c r="BX44" s="7"/>
      <c r="BY44" s="7"/>
      <c r="BZ44" s="7"/>
      <c r="CA44" s="8"/>
      <c r="CB44" s="8"/>
      <c r="CC44" s="8"/>
      <c r="CD44" s="8"/>
      <c r="CE44" s="8"/>
    </row>
    <row r="45" spans="1:88" ht="15" customHeight="1">
      <c r="A45" s="3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5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34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33"/>
      <c r="BM45" s="33"/>
      <c r="BN45" s="33"/>
      <c r="BO45" s="33"/>
      <c r="BP45" s="25" t="s">
        <v>84</v>
      </c>
      <c r="BQ45" s="25">
        <v>39</v>
      </c>
      <c r="BR45" s="25">
        <f t="shared" si="5"/>
        <v>47.19</v>
      </c>
      <c r="BS45" s="7"/>
      <c r="BT45" s="7"/>
      <c r="BU45" s="7"/>
      <c r="BV45" s="7"/>
      <c r="BW45" s="7"/>
      <c r="BX45" s="7"/>
      <c r="BY45" s="7"/>
      <c r="BZ45" s="7"/>
      <c r="CA45" s="8"/>
      <c r="CB45" s="8"/>
      <c r="CC45" s="8"/>
      <c r="CD45" s="8"/>
      <c r="CE45" s="8"/>
    </row>
    <row r="46" spans="1:88" ht="15" customHeight="1">
      <c r="A46" s="34"/>
      <c r="B46" s="102"/>
      <c r="C46" s="102"/>
      <c r="D46" s="102"/>
      <c r="E46" s="102"/>
      <c r="F46" s="102"/>
      <c r="G46" s="206" t="s">
        <v>334</v>
      </c>
      <c r="H46" s="206"/>
      <c r="I46" s="206"/>
      <c r="J46" s="206"/>
      <c r="K46" s="110"/>
      <c r="L46" s="206" t="s">
        <v>48</v>
      </c>
      <c r="M46" s="206"/>
      <c r="N46" s="206"/>
      <c r="O46" s="206"/>
      <c r="P46" s="110"/>
      <c r="Q46" s="206" t="s">
        <v>11</v>
      </c>
      <c r="R46" s="206"/>
      <c r="S46" s="206"/>
      <c r="T46" s="206"/>
      <c r="U46" s="206"/>
      <c r="V46" s="206"/>
      <c r="W46" s="206"/>
      <c r="X46" s="206"/>
      <c r="Y46" s="206"/>
      <c r="Z46" s="110"/>
      <c r="AA46" s="166" t="s">
        <v>13</v>
      </c>
      <c r="AB46" s="166"/>
      <c r="AC46" s="166"/>
      <c r="AD46" s="166"/>
      <c r="AE46" s="166"/>
      <c r="AF46" s="166"/>
      <c r="AG46" s="166"/>
      <c r="AH46" s="166"/>
      <c r="AI46" s="166"/>
      <c r="AJ46" s="110"/>
      <c r="AK46" s="206" t="s">
        <v>3</v>
      </c>
      <c r="AL46" s="206"/>
      <c r="AM46" s="206"/>
      <c r="AN46" s="206"/>
      <c r="AO46" s="34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33"/>
      <c r="BM46" s="33"/>
      <c r="BN46" s="33"/>
      <c r="BO46" s="33"/>
      <c r="BP46" s="33"/>
      <c r="BQ46" s="33"/>
      <c r="BR46" s="33"/>
      <c r="BS46" s="7"/>
      <c r="BT46" s="7"/>
      <c r="BU46" s="7"/>
      <c r="BV46" s="7"/>
      <c r="BW46" s="7"/>
      <c r="BX46" s="7"/>
      <c r="BY46" s="7"/>
      <c r="BZ46" s="7"/>
      <c r="CA46" s="8"/>
      <c r="CB46" s="8"/>
      <c r="CC46" s="8"/>
      <c r="CD46" s="8"/>
      <c r="CE46" s="8"/>
    </row>
    <row r="47" spans="1:88" ht="15" customHeight="1">
      <c r="A47" s="34"/>
      <c r="B47" s="102"/>
      <c r="C47" s="102"/>
      <c r="D47" s="102"/>
      <c r="E47" s="102"/>
      <c r="F47" s="102"/>
      <c r="G47" s="144"/>
      <c r="H47" s="144"/>
      <c r="I47" s="144"/>
      <c r="J47" s="144"/>
      <c r="K47" s="102"/>
      <c r="L47" s="147"/>
      <c r="M47" s="147"/>
      <c r="N47" s="147"/>
      <c r="O47" s="147"/>
      <c r="P47" s="102"/>
      <c r="Q47" s="180" t="str">
        <f>CONCATENATE("Sin ",$AQ$19)</f>
        <v>Sin IVA</v>
      </c>
      <c r="R47" s="180"/>
      <c r="S47" s="180"/>
      <c r="T47" s="180"/>
      <c r="U47" s="110"/>
      <c r="V47" s="180" t="str">
        <f>CONCATENATE("Con ",$AQ$19)</f>
        <v>Con IVA</v>
      </c>
      <c r="W47" s="180"/>
      <c r="X47" s="180"/>
      <c r="Y47" s="180"/>
      <c r="Z47" s="110"/>
      <c r="AA47" s="166" t="s">
        <v>13</v>
      </c>
      <c r="AB47" s="166"/>
      <c r="AC47" s="166"/>
      <c r="AD47" s="166"/>
      <c r="AE47" s="110"/>
      <c r="AF47" s="180" t="s">
        <v>13</v>
      </c>
      <c r="AG47" s="180"/>
      <c r="AH47" s="180"/>
      <c r="AI47" s="180"/>
      <c r="AJ47" s="110"/>
      <c r="AK47" s="180" t="str">
        <f>CONCATENATE("Con ",$AQ$19)</f>
        <v>Con IVA</v>
      </c>
      <c r="AL47" s="180"/>
      <c r="AM47" s="180"/>
      <c r="AN47" s="180"/>
      <c r="AO47" s="34"/>
      <c r="AT47" s="5" t="s">
        <v>354</v>
      </c>
      <c r="AU47" s="5" t="s">
        <v>353</v>
      </c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33"/>
      <c r="BM47" s="33"/>
      <c r="BN47" s="33"/>
      <c r="BO47" s="33"/>
      <c r="BP47" s="33"/>
      <c r="BQ47" s="33"/>
      <c r="BR47" s="33"/>
      <c r="BS47" s="7"/>
      <c r="BT47" s="7"/>
      <c r="BU47" s="7"/>
      <c r="BV47" s="7"/>
      <c r="BW47" s="7"/>
      <c r="BX47" s="7"/>
      <c r="BY47" s="7"/>
      <c r="BZ47" s="7"/>
      <c r="CA47" s="8"/>
      <c r="CB47" s="8"/>
      <c r="CC47" s="8"/>
      <c r="CD47" s="8"/>
      <c r="CE47" s="8"/>
    </row>
    <row r="48" spans="1:88" ht="16.5" customHeight="1">
      <c r="A48" s="24"/>
      <c r="B48" s="235" t="s">
        <v>2</v>
      </c>
      <c r="C48" s="235"/>
      <c r="D48" s="235"/>
      <c r="E48" s="235"/>
      <c r="F48" s="235"/>
      <c r="G48" s="230">
        <f>IF(AA23="","",AA23)</f>
        <v>954717082</v>
      </c>
      <c r="H48" s="222"/>
      <c r="I48" s="222"/>
      <c r="J48" s="231"/>
      <c r="K48" s="102"/>
      <c r="L48" s="209" t="s">
        <v>413</v>
      </c>
      <c r="M48" s="209"/>
      <c r="N48" s="209"/>
      <c r="O48" s="209"/>
      <c r="P48" s="102"/>
      <c r="Q48" s="207" t="str">
        <f xml:space="preserve"> IF(O86="INDIRECTA",(IFERROR(VLOOKUP($L$48,Hoja2!C7:D34,2,0)," "))+2.48, (IFERROR(VLOOKUP($L$48,Hoja2!C7:D34,2,0)," ")))</f>
        <v xml:space="preserve"> </v>
      </c>
      <c r="R48" s="207"/>
      <c r="S48" s="207"/>
      <c r="T48" s="207"/>
      <c r="U48" s="110"/>
      <c r="V48" s="207" t="e">
        <f>Q48*0.21+Q48</f>
        <v>#VALUE!</v>
      </c>
      <c r="W48" s="207"/>
      <c r="X48" s="207"/>
      <c r="Y48" s="207"/>
      <c r="Z48" s="110"/>
      <c r="AA48" s="221" t="s">
        <v>13</v>
      </c>
      <c r="AB48" s="221"/>
      <c r="AC48" s="221"/>
      <c r="AD48" s="221"/>
      <c r="AE48" s="110"/>
      <c r="AF48" s="217" t="s">
        <v>13</v>
      </c>
      <c r="AG48" s="217"/>
      <c r="AH48" s="217"/>
      <c r="AI48" s="217"/>
      <c r="AJ48" s="110"/>
      <c r="AK48" s="207" t="e">
        <f>V48</f>
        <v>#VALUE!</v>
      </c>
      <c r="AL48" s="207"/>
      <c r="AM48" s="207"/>
      <c r="AN48" s="207"/>
      <c r="AO48" s="34"/>
      <c r="AQ48" s="5" t="s">
        <v>315</v>
      </c>
      <c r="AR48" s="69">
        <f>SUM(Q48,Q51:T62)*1.21</f>
        <v>132.011</v>
      </c>
      <c r="AT48" s="5" t="str">
        <f xml:space="preserve"> IFERROR(VLOOKUP(L48,Hoja2!G75:J93,2,0), "0")</f>
        <v>0</v>
      </c>
      <c r="AU48" s="5">
        <f>AT48/100</f>
        <v>0</v>
      </c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33"/>
      <c r="BM48" s="33"/>
      <c r="BN48" s="33"/>
      <c r="BO48" s="33"/>
      <c r="BP48" s="33"/>
      <c r="BQ48" s="33"/>
      <c r="BR48" s="33"/>
      <c r="BS48" s="7"/>
      <c r="BT48" s="7"/>
      <c r="BU48" s="7"/>
      <c r="BV48" s="7"/>
      <c r="BW48" s="7"/>
      <c r="BX48" s="7"/>
      <c r="BY48" s="7"/>
      <c r="BZ48" s="7"/>
      <c r="CA48" s="8"/>
      <c r="CB48" s="8"/>
      <c r="CC48" s="8"/>
      <c r="CD48" s="8"/>
      <c r="CE48" s="8"/>
    </row>
    <row r="49" spans="1:83" ht="20.25" customHeight="1">
      <c r="A49" s="34"/>
      <c r="B49" s="143"/>
      <c r="C49" s="143"/>
      <c r="D49" s="143"/>
      <c r="E49" s="143"/>
      <c r="F49" s="143"/>
      <c r="G49" s="243"/>
      <c r="H49" s="236"/>
      <c r="I49" s="236"/>
      <c r="J49" s="244"/>
      <c r="K49" s="102"/>
      <c r="L49" s="110"/>
      <c r="M49" s="110"/>
      <c r="N49" s="110"/>
      <c r="O49" s="110"/>
      <c r="P49" s="102"/>
      <c r="Q49" s="146"/>
      <c r="R49" s="146"/>
      <c r="S49" s="146"/>
      <c r="T49" s="146"/>
      <c r="U49" s="102"/>
      <c r="V49" s="215" t="s">
        <v>47</v>
      </c>
      <c r="W49" s="215"/>
      <c r="X49" s="215"/>
      <c r="Y49" s="215"/>
      <c r="Z49" s="215"/>
      <c r="AA49" s="215"/>
      <c r="AB49" s="215"/>
      <c r="AC49" s="215"/>
      <c r="AD49" s="215"/>
      <c r="AE49" s="215"/>
      <c r="AF49" s="215"/>
      <c r="AG49" s="215"/>
      <c r="AH49" s="215"/>
      <c r="AI49" s="215"/>
      <c r="AJ49" s="104"/>
      <c r="AK49" s="138"/>
      <c r="AL49" s="138"/>
      <c r="AM49" s="138"/>
      <c r="AN49" s="138"/>
      <c r="AO49" s="34"/>
      <c r="AQ49" s="5" t="s">
        <v>316</v>
      </c>
      <c r="AR49" s="69">
        <f>AR48*0.8</f>
        <v>105.6088</v>
      </c>
      <c r="AT49" s="159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33"/>
      <c r="BM49" s="33"/>
      <c r="BN49" s="33"/>
      <c r="BO49" s="33"/>
      <c r="BP49" s="33"/>
      <c r="BQ49" s="33"/>
      <c r="BR49" s="33"/>
      <c r="BS49" s="7"/>
      <c r="BT49" s="7"/>
      <c r="BU49" s="7"/>
      <c r="BV49" s="7"/>
      <c r="BW49" s="7"/>
      <c r="BX49" s="7"/>
      <c r="BY49" s="7"/>
      <c r="BZ49" s="7"/>
      <c r="CA49" s="8"/>
      <c r="CB49" s="8"/>
      <c r="CC49" s="8"/>
      <c r="CD49" s="8"/>
      <c r="CE49" s="8"/>
    </row>
    <row r="50" spans="1:83" ht="12.75" customHeight="1">
      <c r="A50" s="34"/>
      <c r="B50" s="241"/>
      <c r="C50" s="241"/>
      <c r="D50" s="241"/>
      <c r="E50" s="241"/>
      <c r="F50" s="241"/>
      <c r="G50" s="243"/>
      <c r="H50" s="236"/>
      <c r="I50" s="236"/>
      <c r="J50" s="244"/>
      <c r="K50" s="102"/>
      <c r="L50" s="147"/>
      <c r="M50" s="147"/>
      <c r="N50" s="147"/>
      <c r="O50" s="147"/>
      <c r="P50" s="102"/>
      <c r="Q50" s="102"/>
      <c r="R50" s="102"/>
      <c r="S50" s="102"/>
      <c r="T50" s="102"/>
      <c r="U50" s="102"/>
      <c r="V50" s="222" t="s">
        <v>6</v>
      </c>
      <c r="W50" s="222"/>
      <c r="X50" s="222"/>
      <c r="Y50" s="222"/>
      <c r="Z50" s="222"/>
      <c r="AA50" s="100"/>
      <c r="AB50" s="205" t="s">
        <v>89</v>
      </c>
      <c r="AC50" s="205"/>
      <c r="AD50" s="205"/>
      <c r="AE50" s="102"/>
      <c r="AF50" s="205" t="s">
        <v>90</v>
      </c>
      <c r="AG50" s="205"/>
      <c r="AH50" s="205"/>
      <c r="AI50" s="205"/>
      <c r="AJ50" s="104"/>
      <c r="AK50" s="205" t="s">
        <v>90</v>
      </c>
      <c r="AL50" s="205"/>
      <c r="AM50" s="205"/>
      <c r="AN50" s="205"/>
      <c r="AO50" s="34"/>
      <c r="AP50" s="258" t="s">
        <v>348</v>
      </c>
      <c r="AQ50" s="258"/>
      <c r="AR50" s="258"/>
      <c r="AT50" s="161"/>
      <c r="AV50" s="160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33"/>
      <c r="BM50" s="33"/>
      <c r="BN50" s="33"/>
      <c r="BO50" s="33"/>
      <c r="BP50" s="33"/>
      <c r="BQ50" s="33"/>
      <c r="BR50" s="33"/>
      <c r="BS50" s="7"/>
      <c r="BT50" s="7"/>
      <c r="BU50" s="7"/>
      <c r="BV50" s="7"/>
      <c r="BW50" s="7"/>
      <c r="BX50" s="7"/>
      <c r="BY50" s="7"/>
      <c r="BZ50" s="7"/>
      <c r="CA50" s="8"/>
      <c r="CB50" s="8"/>
      <c r="CC50" s="8"/>
      <c r="CD50" s="8"/>
      <c r="CE50" s="8"/>
    </row>
    <row r="51" spans="1:83" ht="15.75" customHeight="1">
      <c r="A51" s="34"/>
      <c r="B51" s="185" t="s">
        <v>324</v>
      </c>
      <c r="C51" s="185"/>
      <c r="D51" s="185"/>
      <c r="E51" s="185"/>
      <c r="F51" s="186"/>
      <c r="G51" s="214">
        <f>IF(AA25="","",AA25)</f>
        <v>640348702</v>
      </c>
      <c r="H51" s="215"/>
      <c r="I51" s="215"/>
      <c r="J51" s="216"/>
      <c r="K51" s="102"/>
      <c r="L51" s="209" t="s">
        <v>131</v>
      </c>
      <c r="M51" s="209"/>
      <c r="N51" s="209"/>
      <c r="O51" s="209"/>
      <c r="P51" s="102"/>
      <c r="Q51" s="207">
        <f>IFERROR(VLOOKUP(L51,Hoja2!C44:D58,2,0)," ")</f>
        <v>0</v>
      </c>
      <c r="R51" s="207"/>
      <c r="S51" s="207"/>
      <c r="T51" s="207"/>
      <c r="U51" s="102"/>
      <c r="V51" s="188"/>
      <c r="W51" s="188"/>
      <c r="X51" s="188"/>
      <c r="Y51" s="188"/>
      <c r="Z51" s="188"/>
      <c r="AA51" s="111"/>
      <c r="AB51" s="190"/>
      <c r="AC51" s="190"/>
      <c r="AD51" s="190"/>
      <c r="AE51" s="102"/>
      <c r="AF51" s="190"/>
      <c r="AG51" s="190"/>
      <c r="AH51" s="190"/>
      <c r="AI51" s="190"/>
      <c r="AJ51" s="104"/>
      <c r="AK51" s="175">
        <f>IFERROR((Q51*1.21)+AF51,"")</f>
        <v>0</v>
      </c>
      <c r="AL51" s="175"/>
      <c r="AM51" s="175"/>
      <c r="AN51" s="175"/>
      <c r="AO51" s="34"/>
      <c r="AP51" s="260">
        <v>56</v>
      </c>
      <c r="AQ51" s="260"/>
      <c r="AR51" s="260"/>
      <c r="AT51" s="5" t="str">
        <f xml:space="preserve"> IFERROR(VLOOKUP(L51,Hoja2!G90:J93,2,0), "0")</f>
        <v>0</v>
      </c>
      <c r="AU51" s="5">
        <f>AT51/100</f>
        <v>0</v>
      </c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33"/>
      <c r="BM51" s="33"/>
      <c r="BN51" s="33"/>
      <c r="BO51" s="33"/>
      <c r="BP51" s="33"/>
      <c r="BQ51" s="33"/>
      <c r="BR51" s="33"/>
      <c r="BS51" s="7"/>
      <c r="BT51" s="7"/>
      <c r="BU51" s="7"/>
      <c r="BV51" s="7"/>
      <c r="BW51" s="7"/>
      <c r="BX51" s="7"/>
      <c r="BY51" s="7"/>
      <c r="BZ51" s="7"/>
      <c r="CA51" s="8"/>
      <c r="CB51" s="8"/>
      <c r="CC51" s="8"/>
      <c r="CD51" s="8"/>
      <c r="CE51" s="8"/>
    </row>
    <row r="52" spans="1:83" ht="15.75" customHeight="1">
      <c r="A52" s="34"/>
      <c r="B52" s="185" t="s">
        <v>325</v>
      </c>
      <c r="C52" s="185"/>
      <c r="D52" s="185"/>
      <c r="E52" s="185"/>
      <c r="F52" s="186"/>
      <c r="G52" s="210">
        <f>IF(AA26="","",AA26)</f>
        <v>617665734</v>
      </c>
      <c r="H52" s="211"/>
      <c r="I52" s="211"/>
      <c r="J52" s="212"/>
      <c r="K52" s="102"/>
      <c r="L52" s="209" t="s">
        <v>131</v>
      </c>
      <c r="M52" s="209"/>
      <c r="N52" s="209"/>
      <c r="O52" s="209"/>
      <c r="P52" s="102"/>
      <c r="Q52" s="207">
        <f>IFERROR(VLOOKUP(L52,Hoja2!C44:D58,2,0)," ")</f>
        <v>0</v>
      </c>
      <c r="R52" s="207"/>
      <c r="S52" s="207"/>
      <c r="T52" s="207"/>
      <c r="U52" s="102"/>
      <c r="V52" s="188"/>
      <c r="W52" s="188"/>
      <c r="X52" s="188"/>
      <c r="Y52" s="188"/>
      <c r="Z52" s="188"/>
      <c r="AA52" s="111"/>
      <c r="AB52" s="190"/>
      <c r="AC52" s="190"/>
      <c r="AD52" s="190"/>
      <c r="AE52" s="102"/>
      <c r="AF52" s="190"/>
      <c r="AG52" s="190"/>
      <c r="AH52" s="190"/>
      <c r="AI52" s="190"/>
      <c r="AJ52" s="104"/>
      <c r="AK52" s="175">
        <f t="shared" ref="AK52:AK60" si="6">IFERROR((Q52*1.21)+AF52,"")</f>
        <v>0</v>
      </c>
      <c r="AL52" s="175"/>
      <c r="AM52" s="175"/>
      <c r="AN52" s="175"/>
      <c r="AO52" s="34"/>
      <c r="AP52" s="260">
        <v>30</v>
      </c>
      <c r="AQ52" s="260"/>
      <c r="AR52" s="260"/>
      <c r="AT52" s="5" t="str">
        <f xml:space="preserve"> IFERROR(VLOOKUP(L52,Hoja2!G90:J93,2,0), "0")</f>
        <v>0</v>
      </c>
      <c r="AU52" s="5">
        <f t="shared" ref="AU52:AU62" si="7">AT52/100</f>
        <v>0</v>
      </c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33"/>
      <c r="BM52" s="33"/>
      <c r="BN52" s="33"/>
      <c r="BO52" s="33"/>
      <c r="BP52" s="33"/>
      <c r="BQ52" s="33"/>
      <c r="BR52" s="33"/>
      <c r="BS52" s="7"/>
      <c r="BT52" s="7"/>
      <c r="BU52" s="7"/>
      <c r="BV52" s="7"/>
      <c r="BW52" s="7"/>
      <c r="BX52" s="7"/>
      <c r="BY52" s="7"/>
      <c r="BZ52" s="7"/>
      <c r="CA52" s="8"/>
      <c r="CB52" s="8"/>
      <c r="CC52" s="8"/>
      <c r="CD52" s="8"/>
      <c r="CE52" s="8"/>
    </row>
    <row r="53" spans="1:83" ht="18.75">
      <c r="A53" s="34"/>
      <c r="B53" s="185" t="s">
        <v>326</v>
      </c>
      <c r="C53" s="185"/>
      <c r="D53" s="185"/>
      <c r="E53" s="185"/>
      <c r="F53" s="186"/>
      <c r="G53" s="210">
        <f>IF(AA27="","",AA27)</f>
        <v>640384794</v>
      </c>
      <c r="H53" s="211"/>
      <c r="I53" s="211"/>
      <c r="J53" s="212"/>
      <c r="K53" s="102"/>
      <c r="L53" s="209" t="s">
        <v>131</v>
      </c>
      <c r="M53" s="209"/>
      <c r="N53" s="209"/>
      <c r="O53" s="209"/>
      <c r="P53" s="102"/>
      <c r="Q53" s="207">
        <v>98.4</v>
      </c>
      <c r="R53" s="207"/>
      <c r="S53" s="207"/>
      <c r="T53" s="207"/>
      <c r="U53" s="102"/>
      <c r="V53" s="188"/>
      <c r="W53" s="188"/>
      <c r="X53" s="188"/>
      <c r="Y53" s="188"/>
      <c r="Z53" s="188"/>
      <c r="AA53" s="111"/>
      <c r="AB53" s="190"/>
      <c r="AC53" s="190"/>
      <c r="AD53" s="190"/>
      <c r="AE53" s="102"/>
      <c r="AF53" s="190"/>
      <c r="AG53" s="190"/>
      <c r="AH53" s="190"/>
      <c r="AI53" s="190"/>
      <c r="AJ53" s="104"/>
      <c r="AK53" s="175">
        <f t="shared" si="6"/>
        <v>119.06400000000001</v>
      </c>
      <c r="AL53" s="175"/>
      <c r="AM53" s="175"/>
      <c r="AN53" s="175"/>
      <c r="AO53" s="34"/>
      <c r="AP53" s="260">
        <v>120</v>
      </c>
      <c r="AQ53" s="260"/>
      <c r="AR53" s="260"/>
      <c r="AT53" s="5" t="str">
        <f xml:space="preserve"> IFERROR(VLOOKUP(L53,Hoja2!G90:J93,2,0), "0")</f>
        <v>0</v>
      </c>
      <c r="AU53" s="5">
        <f t="shared" si="7"/>
        <v>0</v>
      </c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33"/>
      <c r="BM53" s="33"/>
      <c r="BN53" s="33"/>
      <c r="BO53" s="33"/>
      <c r="BP53" s="33"/>
      <c r="BQ53" s="33"/>
      <c r="BR53" s="33"/>
      <c r="BS53" s="7"/>
      <c r="BT53" s="7"/>
      <c r="BU53" s="7"/>
      <c r="BV53" s="7"/>
      <c r="BW53" s="7"/>
      <c r="BX53" s="7"/>
      <c r="BY53" s="7"/>
      <c r="BZ53" s="7"/>
      <c r="CA53" s="8"/>
      <c r="CB53" s="8"/>
      <c r="CC53" s="8"/>
      <c r="CD53" s="8"/>
      <c r="CE53" s="8"/>
    </row>
    <row r="54" spans="1:83" ht="18.75">
      <c r="A54" s="34"/>
      <c r="B54" s="185" t="s">
        <v>327</v>
      </c>
      <c r="C54" s="185"/>
      <c r="D54" s="185"/>
      <c r="E54" s="185"/>
      <c r="F54" s="186"/>
      <c r="G54" s="210">
        <f t="shared" ref="G54" si="8">IF(AA28="","",AA28)</f>
        <v>655892896</v>
      </c>
      <c r="H54" s="211"/>
      <c r="I54" s="211"/>
      <c r="J54" s="212"/>
      <c r="K54" s="102"/>
      <c r="L54" s="209" t="s">
        <v>418</v>
      </c>
      <c r="M54" s="209"/>
      <c r="N54" s="209"/>
      <c r="O54" s="209"/>
      <c r="P54" s="102"/>
      <c r="Q54" s="207" t="str">
        <f>IFERROR(VLOOKUP(L54,Hoja2!C44:D58,2,0)," ")</f>
        <v xml:space="preserve"> </v>
      </c>
      <c r="R54" s="207"/>
      <c r="S54" s="207"/>
      <c r="T54" s="207"/>
      <c r="U54" s="102"/>
      <c r="V54" s="188"/>
      <c r="W54" s="188"/>
      <c r="X54" s="188"/>
      <c r="Y54" s="188"/>
      <c r="Z54" s="188"/>
      <c r="AA54" s="111"/>
      <c r="AB54" s="190"/>
      <c r="AC54" s="190"/>
      <c r="AD54" s="190"/>
      <c r="AE54" s="102"/>
      <c r="AF54" s="190"/>
      <c r="AG54" s="190"/>
      <c r="AH54" s="190"/>
      <c r="AI54" s="190"/>
      <c r="AJ54" s="104"/>
      <c r="AK54" s="175" t="str">
        <f t="shared" si="6"/>
        <v/>
      </c>
      <c r="AL54" s="175"/>
      <c r="AM54" s="175"/>
      <c r="AN54" s="175"/>
      <c r="AO54" s="34"/>
      <c r="AP54" s="260">
        <v>130</v>
      </c>
      <c r="AQ54" s="260"/>
      <c r="AR54" s="260"/>
      <c r="AT54" s="5" t="str">
        <f xml:space="preserve"> IFERROR(VLOOKUP(L54,Hoja2!G90:J93,2,0), "0")</f>
        <v>0</v>
      </c>
      <c r="AU54" s="5">
        <f t="shared" si="7"/>
        <v>0</v>
      </c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33"/>
      <c r="BM54" s="33"/>
      <c r="BN54" s="33"/>
      <c r="BO54" s="33"/>
      <c r="BP54" s="33"/>
      <c r="BQ54" s="33"/>
      <c r="BR54" s="33"/>
      <c r="BS54" s="7"/>
      <c r="BT54" s="7"/>
      <c r="BU54" s="7"/>
      <c r="BV54" s="7"/>
      <c r="BW54" s="7"/>
      <c r="BX54" s="7"/>
      <c r="BY54" s="7"/>
      <c r="BZ54" s="7"/>
      <c r="CA54" s="8"/>
      <c r="CB54" s="8"/>
      <c r="CC54" s="8"/>
      <c r="CD54" s="8"/>
      <c r="CE54" s="8"/>
    </row>
    <row r="55" spans="1:83" ht="18.75">
      <c r="A55" s="34"/>
      <c r="B55" s="185" t="s">
        <v>328</v>
      </c>
      <c r="C55" s="185"/>
      <c r="D55" s="185"/>
      <c r="E55" s="185"/>
      <c r="F55" s="186"/>
      <c r="G55" s="210">
        <f t="shared" ref="G55:G60" si="9">IF(AA29="","",AA29)</f>
        <v>657924857</v>
      </c>
      <c r="H55" s="211"/>
      <c r="I55" s="211"/>
      <c r="J55" s="212"/>
      <c r="K55" s="102"/>
      <c r="L55" s="209" t="s">
        <v>418</v>
      </c>
      <c r="M55" s="209"/>
      <c r="N55" s="209"/>
      <c r="O55" s="209"/>
      <c r="P55" s="102"/>
      <c r="Q55" s="207" t="str">
        <f>IFERROR(VLOOKUP(L55,Hoja2!C44:D58,2,0)," ")</f>
        <v xml:space="preserve"> </v>
      </c>
      <c r="R55" s="207"/>
      <c r="S55" s="207"/>
      <c r="T55" s="207"/>
      <c r="U55" s="102"/>
      <c r="V55" s="188"/>
      <c r="W55" s="188"/>
      <c r="X55" s="188"/>
      <c r="Y55" s="188"/>
      <c r="Z55" s="188"/>
      <c r="AA55" s="111"/>
      <c r="AB55" s="190"/>
      <c r="AC55" s="190"/>
      <c r="AD55" s="190"/>
      <c r="AE55" s="102"/>
      <c r="AF55" s="190"/>
      <c r="AG55" s="190"/>
      <c r="AH55" s="190"/>
      <c r="AI55" s="190"/>
      <c r="AJ55" s="104"/>
      <c r="AK55" s="175" t="str">
        <f t="shared" si="6"/>
        <v/>
      </c>
      <c r="AL55" s="175"/>
      <c r="AM55" s="175"/>
      <c r="AN55" s="175"/>
      <c r="AO55" s="34"/>
      <c r="AP55" s="260">
        <v>1</v>
      </c>
      <c r="AQ55" s="260"/>
      <c r="AR55" s="260"/>
      <c r="AT55" s="5" t="str">
        <f xml:space="preserve"> IFERROR(VLOOKUP(L55,Hoja2!G90:J93,2,0), "0")</f>
        <v>0</v>
      </c>
      <c r="AU55" s="5">
        <f t="shared" si="7"/>
        <v>0</v>
      </c>
      <c r="AZ55" s="5" t="s">
        <v>355</v>
      </c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33"/>
      <c r="BM55" s="33"/>
      <c r="BN55" s="33"/>
      <c r="BO55" s="33"/>
      <c r="BP55" s="33"/>
      <c r="BQ55" s="33"/>
      <c r="BR55" s="33"/>
      <c r="BS55" s="7"/>
      <c r="BT55" s="7"/>
      <c r="BU55" s="7"/>
      <c r="BV55" s="7"/>
      <c r="BW55" s="7"/>
      <c r="BX55" s="7"/>
      <c r="BY55" s="7"/>
      <c r="BZ55" s="7"/>
      <c r="CA55" s="8"/>
      <c r="CB55" s="8"/>
      <c r="CC55" s="8"/>
      <c r="CD55" s="8"/>
      <c r="CE55" s="8"/>
    </row>
    <row r="56" spans="1:83" ht="15.75" customHeight="1">
      <c r="A56" s="34"/>
      <c r="B56" s="185" t="s">
        <v>329</v>
      </c>
      <c r="C56" s="185"/>
      <c r="D56" s="185"/>
      <c r="E56" s="185"/>
      <c r="F56" s="186"/>
      <c r="G56" s="210" t="str">
        <f t="shared" si="9"/>
        <v/>
      </c>
      <c r="H56" s="211"/>
      <c r="I56" s="211"/>
      <c r="J56" s="212"/>
      <c r="K56" s="102"/>
      <c r="L56" s="209"/>
      <c r="M56" s="209"/>
      <c r="N56" s="209"/>
      <c r="O56" s="209"/>
      <c r="P56" s="102"/>
      <c r="Q56" s="207" t="str">
        <f>IFERROR(VLOOKUP(L56,Hoja2!C44:D58,2,0)," ")</f>
        <v xml:space="preserve"> </v>
      </c>
      <c r="R56" s="207"/>
      <c r="S56" s="207"/>
      <c r="T56" s="207"/>
      <c r="U56" s="102"/>
      <c r="V56" s="188"/>
      <c r="W56" s="188"/>
      <c r="X56" s="188"/>
      <c r="Y56" s="188"/>
      <c r="Z56" s="188"/>
      <c r="AA56" s="111"/>
      <c r="AB56" s="190"/>
      <c r="AC56" s="190"/>
      <c r="AD56" s="190"/>
      <c r="AE56" s="102"/>
      <c r="AF56" s="190"/>
      <c r="AG56" s="190"/>
      <c r="AH56" s="190"/>
      <c r="AI56" s="190"/>
      <c r="AJ56" s="104"/>
      <c r="AK56" s="175" t="str">
        <f t="shared" si="6"/>
        <v/>
      </c>
      <c r="AL56" s="175"/>
      <c r="AM56" s="175"/>
      <c r="AN56" s="175"/>
      <c r="AO56" s="34"/>
      <c r="AP56" s="260"/>
      <c r="AQ56" s="260"/>
      <c r="AR56" s="260"/>
      <c r="AT56" s="5" t="str">
        <f xml:space="preserve"> IFERROR(VLOOKUP(L56,Hoja2!G90:J93,2,0), "0")</f>
        <v>0</v>
      </c>
      <c r="AU56" s="5">
        <f t="shared" si="7"/>
        <v>0</v>
      </c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33"/>
      <c r="BM56" s="33"/>
      <c r="BN56" s="33"/>
      <c r="BO56" s="33"/>
      <c r="BP56" s="33"/>
      <c r="BQ56" s="33"/>
      <c r="BR56" s="33"/>
      <c r="BS56" s="7"/>
      <c r="BT56" s="7"/>
      <c r="BU56" s="7"/>
      <c r="BV56" s="7"/>
      <c r="BW56" s="7"/>
      <c r="BX56" s="7"/>
      <c r="BY56" s="7"/>
      <c r="BZ56" s="7"/>
      <c r="CA56" s="8"/>
      <c r="CB56" s="8"/>
      <c r="CC56" s="8"/>
      <c r="CD56" s="8"/>
      <c r="CE56" s="8"/>
    </row>
    <row r="57" spans="1:83" ht="18.75">
      <c r="A57" s="34"/>
      <c r="B57" s="185" t="s">
        <v>330</v>
      </c>
      <c r="C57" s="185"/>
      <c r="D57" s="185"/>
      <c r="E57" s="185"/>
      <c r="F57" s="186"/>
      <c r="G57" s="210" t="str">
        <f t="shared" si="9"/>
        <v/>
      </c>
      <c r="H57" s="211"/>
      <c r="I57" s="211"/>
      <c r="J57" s="212"/>
      <c r="K57" s="102"/>
      <c r="L57" s="209"/>
      <c r="M57" s="209"/>
      <c r="N57" s="209"/>
      <c r="O57" s="209"/>
      <c r="P57" s="102"/>
      <c r="Q57" s="207" t="str">
        <f>IFERROR(VLOOKUP(L57,Hoja2!C44:D58,2,0)," ")</f>
        <v xml:space="preserve"> </v>
      </c>
      <c r="R57" s="207"/>
      <c r="S57" s="207"/>
      <c r="T57" s="207"/>
      <c r="U57" s="102"/>
      <c r="V57" s="188"/>
      <c r="W57" s="188"/>
      <c r="X57" s="188"/>
      <c r="Y57" s="188"/>
      <c r="Z57" s="188"/>
      <c r="AA57" s="111"/>
      <c r="AB57" s="190"/>
      <c r="AC57" s="190"/>
      <c r="AD57" s="190"/>
      <c r="AE57" s="102"/>
      <c r="AF57" s="190"/>
      <c r="AG57" s="190"/>
      <c r="AH57" s="190"/>
      <c r="AI57" s="190"/>
      <c r="AJ57" s="104"/>
      <c r="AK57" s="175" t="str">
        <f t="shared" si="6"/>
        <v/>
      </c>
      <c r="AL57" s="175"/>
      <c r="AM57" s="175"/>
      <c r="AN57" s="175"/>
      <c r="AO57" s="34"/>
      <c r="AP57" s="260"/>
      <c r="AQ57" s="260"/>
      <c r="AR57" s="260"/>
      <c r="AT57" s="5" t="str">
        <f xml:space="preserve"> IFERROR(VLOOKUP(L57,Hoja2!G90:J93,2,0), "0")</f>
        <v>0</v>
      </c>
      <c r="AU57" s="5">
        <f t="shared" si="7"/>
        <v>0</v>
      </c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33"/>
      <c r="BM57" s="33"/>
      <c r="BN57" s="33"/>
      <c r="BO57" s="33"/>
      <c r="BP57" s="33"/>
      <c r="BQ57" s="33"/>
      <c r="BR57" s="33"/>
      <c r="BS57" s="7"/>
      <c r="BT57" s="7"/>
      <c r="BU57" s="7"/>
      <c r="BV57" s="7"/>
      <c r="BW57" s="7"/>
      <c r="BX57" s="7"/>
      <c r="BY57" s="7"/>
      <c r="BZ57" s="7"/>
      <c r="CA57" s="8"/>
      <c r="CB57" s="8"/>
      <c r="CC57" s="8"/>
      <c r="CD57" s="8"/>
      <c r="CE57" s="8"/>
    </row>
    <row r="58" spans="1:83" ht="18.75">
      <c r="A58" s="34"/>
      <c r="B58" s="185" t="s">
        <v>331</v>
      </c>
      <c r="C58" s="185"/>
      <c r="D58" s="185"/>
      <c r="E58" s="185"/>
      <c r="F58" s="186"/>
      <c r="G58" s="210" t="str">
        <f t="shared" si="9"/>
        <v/>
      </c>
      <c r="H58" s="211"/>
      <c r="I58" s="211"/>
      <c r="J58" s="212"/>
      <c r="K58" s="102"/>
      <c r="L58" s="209"/>
      <c r="M58" s="209"/>
      <c r="N58" s="209"/>
      <c r="O58" s="209"/>
      <c r="P58" s="102"/>
      <c r="Q58" s="207" t="str">
        <f>IFERROR(VLOOKUP(L58,Hoja2!C44:D58,2,0)," ")</f>
        <v xml:space="preserve"> </v>
      </c>
      <c r="R58" s="207"/>
      <c r="S58" s="207"/>
      <c r="T58" s="207"/>
      <c r="U58" s="102"/>
      <c r="V58" s="188"/>
      <c r="W58" s="188"/>
      <c r="X58" s="188"/>
      <c r="Y58" s="188"/>
      <c r="Z58" s="188"/>
      <c r="AA58" s="111"/>
      <c r="AB58" s="190"/>
      <c r="AC58" s="190"/>
      <c r="AD58" s="190"/>
      <c r="AE58" s="102"/>
      <c r="AF58" s="190"/>
      <c r="AG58" s="190"/>
      <c r="AH58" s="190"/>
      <c r="AI58" s="190"/>
      <c r="AJ58" s="104"/>
      <c r="AK58" s="175" t="str">
        <f t="shared" si="6"/>
        <v/>
      </c>
      <c r="AL58" s="175"/>
      <c r="AM58" s="175"/>
      <c r="AN58" s="175"/>
      <c r="AO58" s="34"/>
      <c r="AP58" s="260"/>
      <c r="AQ58" s="260"/>
      <c r="AR58" s="260"/>
      <c r="AT58" s="5" t="str">
        <f xml:space="preserve"> IFERROR(VLOOKUP(L58,Hoja2!G90:J93,2,0), "0")</f>
        <v>0</v>
      </c>
      <c r="AU58" s="5">
        <f t="shared" si="7"/>
        <v>0</v>
      </c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33"/>
      <c r="BM58" s="33"/>
      <c r="BN58" s="33"/>
      <c r="BO58" s="33"/>
      <c r="BP58" s="33"/>
      <c r="BQ58" s="33"/>
      <c r="BR58" s="33"/>
      <c r="BS58" s="7"/>
      <c r="BT58" s="7"/>
      <c r="BU58" s="7"/>
      <c r="BV58" s="7"/>
      <c r="BW58" s="7"/>
      <c r="BX58" s="7"/>
      <c r="BY58" s="7"/>
      <c r="BZ58" s="7"/>
      <c r="CA58" s="8"/>
      <c r="CB58" s="8"/>
      <c r="CC58" s="8"/>
      <c r="CD58" s="8"/>
      <c r="CE58" s="8"/>
    </row>
    <row r="59" spans="1:83" ht="18.75">
      <c r="A59" s="34"/>
      <c r="B59" s="185" t="s">
        <v>332</v>
      </c>
      <c r="C59" s="185"/>
      <c r="D59" s="185"/>
      <c r="E59" s="185"/>
      <c r="F59" s="186"/>
      <c r="G59" s="210" t="str">
        <f t="shared" si="9"/>
        <v/>
      </c>
      <c r="H59" s="211"/>
      <c r="I59" s="211"/>
      <c r="J59" s="212"/>
      <c r="K59" s="102"/>
      <c r="L59" s="209"/>
      <c r="M59" s="209"/>
      <c r="N59" s="209"/>
      <c r="O59" s="209"/>
      <c r="P59" s="102"/>
      <c r="Q59" s="207" t="str">
        <f>IFERROR(VLOOKUP(L59,Hoja2!C44:D58,2,0)," ")</f>
        <v xml:space="preserve"> </v>
      </c>
      <c r="R59" s="207"/>
      <c r="S59" s="207"/>
      <c r="T59" s="207"/>
      <c r="U59" s="102"/>
      <c r="V59" s="188"/>
      <c r="W59" s="188"/>
      <c r="X59" s="188"/>
      <c r="Y59" s="188"/>
      <c r="Z59" s="188"/>
      <c r="AA59" s="111"/>
      <c r="AB59" s="190"/>
      <c r="AC59" s="190"/>
      <c r="AD59" s="190"/>
      <c r="AE59" s="102"/>
      <c r="AF59" s="190"/>
      <c r="AG59" s="190"/>
      <c r="AH59" s="190"/>
      <c r="AI59" s="190"/>
      <c r="AJ59" s="104"/>
      <c r="AK59" s="175" t="str">
        <f t="shared" si="6"/>
        <v/>
      </c>
      <c r="AL59" s="175"/>
      <c r="AM59" s="175"/>
      <c r="AN59" s="175"/>
      <c r="AO59" s="34"/>
      <c r="AP59" s="260"/>
      <c r="AQ59" s="260"/>
      <c r="AR59" s="260"/>
      <c r="AT59" s="5" t="str">
        <f xml:space="preserve"> IFERROR(VLOOKUP(L59,Hoja2!G90:J93,2,0), "0")</f>
        <v>0</v>
      </c>
      <c r="AU59" s="5">
        <f t="shared" si="7"/>
        <v>0</v>
      </c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33"/>
      <c r="BM59" s="33"/>
      <c r="BN59" s="33"/>
      <c r="BO59" s="33"/>
      <c r="BP59" s="33"/>
      <c r="BQ59" s="33"/>
      <c r="BR59" s="33"/>
      <c r="BS59" s="7"/>
      <c r="BT59" s="7"/>
      <c r="BU59" s="7"/>
      <c r="BV59" s="7"/>
      <c r="BW59" s="7"/>
      <c r="BX59" s="7"/>
      <c r="BY59" s="7"/>
      <c r="BZ59" s="7"/>
      <c r="CA59" s="8"/>
      <c r="CB59" s="8"/>
      <c r="CC59" s="8"/>
      <c r="CD59" s="8"/>
      <c r="CE59" s="8"/>
    </row>
    <row r="60" spans="1:83" ht="18.75">
      <c r="A60" s="34"/>
      <c r="B60" s="185" t="s">
        <v>333</v>
      </c>
      <c r="C60" s="185"/>
      <c r="D60" s="185"/>
      <c r="E60" s="185"/>
      <c r="F60" s="185"/>
      <c r="G60" s="245" t="str">
        <f t="shared" si="9"/>
        <v/>
      </c>
      <c r="H60" s="245"/>
      <c r="I60" s="245"/>
      <c r="J60" s="245"/>
      <c r="K60" s="102"/>
      <c r="L60" s="209"/>
      <c r="M60" s="209"/>
      <c r="N60" s="209"/>
      <c r="O60" s="209"/>
      <c r="P60" s="102"/>
      <c r="Q60" s="207" t="str">
        <f>IFERROR(VLOOKUP(L60,Hoja2!C44:D58,2,0)," ")</f>
        <v xml:space="preserve"> </v>
      </c>
      <c r="R60" s="207"/>
      <c r="S60" s="207"/>
      <c r="T60" s="207"/>
      <c r="U60" s="102"/>
      <c r="V60" s="188"/>
      <c r="W60" s="188"/>
      <c r="X60" s="188"/>
      <c r="Y60" s="188"/>
      <c r="Z60" s="188"/>
      <c r="AA60" s="111"/>
      <c r="AB60" s="190"/>
      <c r="AC60" s="190"/>
      <c r="AD60" s="190"/>
      <c r="AE60" s="102"/>
      <c r="AF60" s="190"/>
      <c r="AG60" s="190"/>
      <c r="AH60" s="190"/>
      <c r="AI60" s="190"/>
      <c r="AJ60" s="104"/>
      <c r="AK60" s="175" t="str">
        <f t="shared" si="6"/>
        <v/>
      </c>
      <c r="AL60" s="175"/>
      <c r="AM60" s="175"/>
      <c r="AN60" s="175"/>
      <c r="AO60" s="34"/>
      <c r="AP60" s="260"/>
      <c r="AQ60" s="260"/>
      <c r="AR60" s="260"/>
      <c r="AT60" s="5" t="str">
        <f xml:space="preserve"> IFERROR(VLOOKUP(L60,Hoja2!G90:J93,2,0), "0")</f>
        <v>0</v>
      </c>
      <c r="AU60" s="5">
        <f t="shared" si="7"/>
        <v>0</v>
      </c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33"/>
      <c r="BM60" s="33"/>
      <c r="BN60" s="33"/>
      <c r="BO60" s="33"/>
      <c r="BP60" s="33"/>
      <c r="BQ60" s="33"/>
      <c r="BR60" s="33"/>
      <c r="BS60" s="7"/>
      <c r="BT60" s="7"/>
      <c r="BU60" s="7"/>
      <c r="BV60" s="7"/>
      <c r="BW60" s="7"/>
      <c r="BX60" s="7"/>
      <c r="BY60" s="7"/>
      <c r="BZ60" s="7"/>
      <c r="CA60" s="8"/>
      <c r="CB60" s="8"/>
      <c r="CC60" s="8"/>
      <c r="CD60" s="8"/>
      <c r="CE60" s="8"/>
    </row>
    <row r="61" spans="1:83" ht="15.75">
      <c r="A61" s="34"/>
      <c r="B61" s="141" t="s">
        <v>281</v>
      </c>
      <c r="C61" s="141"/>
      <c r="D61" s="141"/>
      <c r="E61" s="141"/>
      <c r="F61" s="142"/>
      <c r="G61" s="240">
        <f>AA35</f>
        <v>955000000</v>
      </c>
      <c r="H61" s="240"/>
      <c r="I61" s="240"/>
      <c r="J61" s="240"/>
      <c r="K61" s="102"/>
      <c r="L61" s="227"/>
      <c r="M61" s="227"/>
      <c r="N61" s="227"/>
      <c r="O61" s="227"/>
      <c r="P61" s="102"/>
      <c r="Q61" s="207">
        <v>10.7</v>
      </c>
      <c r="R61" s="207"/>
      <c r="S61" s="207"/>
      <c r="T61" s="207"/>
      <c r="U61" s="102"/>
      <c r="V61" s="188"/>
      <c r="W61" s="188"/>
      <c r="X61" s="188"/>
      <c r="Y61" s="188"/>
      <c r="Z61" s="188"/>
      <c r="AA61" s="111"/>
      <c r="AB61" s="190"/>
      <c r="AC61" s="190"/>
      <c r="AD61" s="190"/>
      <c r="AE61" s="102"/>
      <c r="AF61" s="190"/>
      <c r="AG61" s="190"/>
      <c r="AH61" s="190"/>
      <c r="AI61" s="190"/>
      <c r="AJ61" s="104"/>
      <c r="AK61" s="174"/>
      <c r="AL61" s="174"/>
      <c r="AM61" s="174"/>
      <c r="AN61" s="174"/>
      <c r="AO61" s="34"/>
      <c r="AP61" s="260"/>
      <c r="AQ61" s="260"/>
      <c r="AR61" s="260"/>
      <c r="AT61" s="5" t="str">
        <f xml:space="preserve"> IFERROR(VLOOKUP(L61,Hoja2!G90:J93,2,0), "0")</f>
        <v>0</v>
      </c>
      <c r="AU61" s="5">
        <f t="shared" si="7"/>
        <v>0</v>
      </c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33"/>
      <c r="BM61" s="33"/>
      <c r="BN61" s="33"/>
      <c r="BO61" s="33"/>
      <c r="BP61" s="33"/>
      <c r="BQ61" s="33"/>
      <c r="BR61" s="33"/>
      <c r="BS61" s="7"/>
      <c r="BT61" s="7"/>
      <c r="BU61" s="7"/>
      <c r="BV61" s="7"/>
      <c r="BW61" s="7"/>
      <c r="BX61" s="7"/>
      <c r="BY61" s="7"/>
      <c r="BZ61" s="7"/>
      <c r="CA61" s="8"/>
      <c r="CB61" s="8"/>
      <c r="CC61" s="8"/>
      <c r="CD61" s="8"/>
      <c r="CE61" s="8"/>
    </row>
    <row r="62" spans="1:83" ht="15.75">
      <c r="A62" s="34"/>
      <c r="B62" s="130" t="s">
        <v>282</v>
      </c>
      <c r="C62" s="130"/>
      <c r="D62" s="130"/>
      <c r="E62" s="130"/>
      <c r="F62" s="131"/>
      <c r="G62" s="226">
        <f>AA36</f>
        <v>0</v>
      </c>
      <c r="H62" s="226"/>
      <c r="I62" s="226"/>
      <c r="J62" s="226"/>
      <c r="K62" s="102"/>
      <c r="L62" s="227"/>
      <c r="M62" s="227"/>
      <c r="N62" s="227"/>
      <c r="O62" s="227"/>
      <c r="P62" s="102"/>
      <c r="Q62" s="221" t="str">
        <f>IFERROR(VLOOKUP(L62,Hoja2!C36:D42,2,0)," ")</f>
        <v xml:space="preserve"> </v>
      </c>
      <c r="R62" s="221"/>
      <c r="S62" s="221"/>
      <c r="T62" s="221"/>
      <c r="U62" s="102"/>
      <c r="V62" s="228"/>
      <c r="W62" s="228"/>
      <c r="X62" s="228"/>
      <c r="Y62" s="228"/>
      <c r="Z62" s="228"/>
      <c r="AA62" s="111"/>
      <c r="AB62" s="189"/>
      <c r="AC62" s="189"/>
      <c r="AD62" s="189"/>
      <c r="AE62" s="102"/>
      <c r="AF62" s="189"/>
      <c r="AG62" s="189"/>
      <c r="AH62" s="189"/>
      <c r="AI62" s="189"/>
      <c r="AJ62" s="104"/>
      <c r="AK62" s="237"/>
      <c r="AL62" s="237"/>
      <c r="AM62" s="237"/>
      <c r="AN62" s="237"/>
      <c r="AO62" s="34"/>
      <c r="AP62" s="261"/>
      <c r="AQ62" s="261"/>
      <c r="AR62" s="261"/>
      <c r="AT62" s="5" t="str">
        <f xml:space="preserve"> IFERROR(VLOOKUP(L62,Hoja2!G90:J93,2,0), "0")</f>
        <v>0</v>
      </c>
      <c r="AU62" s="5">
        <f t="shared" si="7"/>
        <v>0</v>
      </c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33"/>
      <c r="BM62" s="33"/>
      <c r="BN62" s="33"/>
      <c r="BO62" s="33"/>
      <c r="BP62" s="33"/>
      <c r="BQ62" s="33"/>
      <c r="BR62" s="33"/>
      <c r="BS62" s="7"/>
      <c r="BT62" s="7"/>
      <c r="BU62" s="7"/>
      <c r="BV62" s="7"/>
      <c r="BW62" s="7"/>
      <c r="BX62" s="7"/>
      <c r="BY62" s="7"/>
      <c r="BZ62" s="7"/>
      <c r="CA62" s="8"/>
      <c r="CB62" s="8"/>
      <c r="CC62" s="8"/>
      <c r="CD62" s="8"/>
      <c r="CE62" s="8"/>
    </row>
    <row r="63" spans="1:83" ht="12" customHeight="1">
      <c r="A63" s="34"/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76"/>
      <c r="AQ63" s="162">
        <f>SUM(AP51:AR62)</f>
        <v>337</v>
      </c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33"/>
      <c r="BM63" s="33"/>
      <c r="BN63" s="33"/>
      <c r="BO63" s="33"/>
      <c r="BP63" s="33"/>
      <c r="BQ63" s="33"/>
      <c r="BR63" s="33"/>
      <c r="BS63" s="7"/>
      <c r="BT63" s="7"/>
      <c r="BU63" s="7"/>
      <c r="BV63" s="7"/>
      <c r="BW63" s="7"/>
      <c r="BX63" s="7"/>
      <c r="BY63" s="7"/>
      <c r="BZ63" s="7"/>
      <c r="CA63" s="8"/>
      <c r="CB63" s="8"/>
      <c r="CC63" s="8"/>
      <c r="CD63" s="8"/>
      <c r="CE63" s="8"/>
    </row>
    <row r="64" spans="1:83" ht="15" customHeight="1">
      <c r="A64" s="34"/>
      <c r="B64" s="99"/>
      <c r="C64" s="99"/>
      <c r="D64" s="99"/>
      <c r="E64" s="99"/>
      <c r="F64" s="99"/>
      <c r="G64" s="236"/>
      <c r="H64" s="236"/>
      <c r="I64" s="236"/>
      <c r="J64" s="236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12"/>
      <c r="V64" s="112"/>
      <c r="W64" s="112"/>
      <c r="X64" s="112"/>
      <c r="Y64" s="100"/>
      <c r="Z64" s="166" t="s">
        <v>91</v>
      </c>
      <c r="AA64" s="166"/>
      <c r="AB64" s="166"/>
      <c r="AC64" s="166"/>
      <c r="AD64" s="113"/>
      <c r="AE64" s="122" t="s">
        <v>92</v>
      </c>
      <c r="AF64" s="122"/>
      <c r="AG64" s="122"/>
      <c r="AH64" s="122"/>
      <c r="AI64" s="122"/>
      <c r="AJ64" s="112"/>
      <c r="AK64" s="166" t="s">
        <v>3</v>
      </c>
      <c r="AL64" s="166"/>
      <c r="AM64" s="166"/>
      <c r="AN64" s="166"/>
      <c r="AO64" s="76"/>
      <c r="AP64" s="258" t="s">
        <v>349</v>
      </c>
      <c r="AQ64" s="258"/>
      <c r="AR64" s="258"/>
      <c r="AT64" s="6">
        <f>SUM(AT48,AT51:AT62)</f>
        <v>0</v>
      </c>
      <c r="AU64" s="5">
        <f>SUM(AU48,AU51:AU62)</f>
        <v>0</v>
      </c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33"/>
      <c r="BM64" s="33"/>
      <c r="BN64" s="33"/>
      <c r="BO64" s="33"/>
      <c r="BP64" s="33"/>
      <c r="BQ64" s="33"/>
      <c r="BR64" s="33"/>
      <c r="BS64" s="7"/>
      <c r="BT64" s="7"/>
      <c r="BU64" s="7"/>
      <c r="BV64" s="7"/>
      <c r="BW64" s="7"/>
      <c r="BX64" s="7"/>
      <c r="BY64" s="7"/>
      <c r="BZ64" s="7"/>
      <c r="CA64" s="8"/>
      <c r="CB64" s="8"/>
      <c r="CC64" s="8"/>
      <c r="CD64" s="8"/>
      <c r="CE64" s="8"/>
    </row>
    <row r="65" spans="1:130" ht="15.75" customHeight="1">
      <c r="A65" s="34"/>
      <c r="B65" s="242"/>
      <c r="C65" s="242"/>
      <c r="D65" s="242"/>
      <c r="E65" s="242"/>
      <c r="F65" s="242"/>
      <c r="G65" s="236"/>
      <c r="H65" s="236"/>
      <c r="I65" s="236"/>
      <c r="J65" s="236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47"/>
      <c r="V65" s="147"/>
      <c r="W65" s="147"/>
      <c r="X65" s="147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80" t="str">
        <f>CONCATENATE("Con ",$AQ$19)</f>
        <v>Con IVA</v>
      </c>
      <c r="AL65" s="180"/>
      <c r="AM65" s="180"/>
      <c r="AN65" s="180"/>
      <c r="AO65" s="76"/>
      <c r="AP65" s="259">
        <f>IF(AQ63&gt;AT64,AT64,AQ63)</f>
        <v>0</v>
      </c>
      <c r="AQ65" s="259"/>
      <c r="AR65" s="259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33"/>
      <c r="BM65" s="33"/>
      <c r="BN65" s="33"/>
      <c r="BO65" s="33"/>
      <c r="BP65" s="33"/>
      <c r="BQ65" s="33"/>
      <c r="BR65" s="33"/>
      <c r="BS65" s="7"/>
      <c r="BT65" s="7"/>
      <c r="BU65" s="7"/>
      <c r="BV65" s="7"/>
      <c r="BW65" s="7"/>
      <c r="BX65" s="7"/>
      <c r="BY65" s="7"/>
      <c r="BZ65" s="7"/>
      <c r="CA65" s="8"/>
      <c r="CB65" s="8"/>
      <c r="CC65" s="8"/>
      <c r="CD65" s="8"/>
      <c r="CE65" s="8"/>
    </row>
    <row r="66" spans="1:130" ht="15" customHeight="1">
      <c r="A66" s="34"/>
      <c r="B66" s="100"/>
      <c r="C66" s="100"/>
      <c r="D66" s="100"/>
      <c r="E66" s="100"/>
      <c r="F66" s="100"/>
      <c r="G66" s="100"/>
      <c r="H66" s="100"/>
      <c r="I66" s="100"/>
      <c r="J66" s="100"/>
      <c r="K66" s="241" t="s">
        <v>312</v>
      </c>
      <c r="L66" s="241"/>
      <c r="M66" s="241"/>
      <c r="N66" s="241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  <c r="AJ66" s="100"/>
      <c r="AK66" s="100"/>
      <c r="AL66" s="100"/>
      <c r="AM66" s="100"/>
      <c r="AN66" s="100"/>
      <c r="AO66" s="76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33"/>
      <c r="BM66" s="33"/>
      <c r="BN66" s="33"/>
      <c r="BO66" s="33"/>
      <c r="BP66" s="33"/>
      <c r="BQ66" s="33"/>
      <c r="BR66" s="33"/>
      <c r="BS66" s="7"/>
      <c r="BT66" s="7"/>
      <c r="BU66" s="7"/>
      <c r="BV66" s="7"/>
      <c r="BW66" s="7"/>
      <c r="BX66" s="7"/>
      <c r="BY66" s="7"/>
      <c r="BZ66" s="7"/>
      <c r="CA66" s="8"/>
      <c r="CB66" s="8"/>
      <c r="CC66" s="8"/>
      <c r="CD66" s="8"/>
      <c r="CE66" s="8"/>
    </row>
    <row r="67" spans="1:130" ht="15" customHeight="1">
      <c r="A67" s="34"/>
      <c r="B67" s="114"/>
      <c r="C67" s="114"/>
      <c r="D67" s="114"/>
      <c r="E67" s="114"/>
      <c r="F67" s="114"/>
      <c r="G67" s="114"/>
      <c r="H67" s="114"/>
      <c r="I67" s="114"/>
      <c r="J67" s="114"/>
      <c r="K67" s="110"/>
      <c r="L67" s="110"/>
      <c r="M67" s="110"/>
      <c r="N67" s="110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104"/>
      <c r="Z67" s="192"/>
      <c r="AA67" s="192"/>
      <c r="AB67" s="192"/>
      <c r="AC67" s="192"/>
      <c r="AD67" s="115"/>
      <c r="AE67" s="175" t="str">
        <f>IFERROR((VLOOKUP(O67,Hoja2!C66:D70,2,FALSE)),"")</f>
        <v/>
      </c>
      <c r="AF67" s="175"/>
      <c r="AG67" s="175"/>
      <c r="AH67" s="175"/>
      <c r="AI67" s="175"/>
      <c r="AJ67" s="115"/>
      <c r="AK67" s="175" t="str">
        <f t="shared" ref="AK67:AK69" si="10">IF(Z67="","",((Z67*AE67)*1.21))</f>
        <v/>
      </c>
      <c r="AL67" s="175"/>
      <c r="AM67" s="175"/>
      <c r="AN67" s="175"/>
      <c r="AO67" s="34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33"/>
      <c r="BM67" s="33"/>
      <c r="BN67" s="33"/>
      <c r="BO67" s="33"/>
      <c r="BP67" s="33"/>
      <c r="BQ67" s="33"/>
      <c r="BR67" s="33"/>
      <c r="BS67" s="7"/>
      <c r="BT67" s="7"/>
      <c r="BU67" s="7"/>
      <c r="BV67" s="7"/>
      <c r="BW67" s="7"/>
      <c r="BX67" s="7"/>
      <c r="BY67" s="7"/>
      <c r="BZ67" s="7"/>
      <c r="CA67" s="8"/>
      <c r="CB67" s="8"/>
      <c r="CC67" s="8"/>
      <c r="CD67" s="8"/>
      <c r="CE67" s="8"/>
    </row>
    <row r="68" spans="1:130" ht="15" customHeight="1">
      <c r="A68" s="34"/>
      <c r="B68" s="114"/>
      <c r="C68" s="114"/>
      <c r="D68" s="114"/>
      <c r="E68" s="114"/>
      <c r="F68" s="114"/>
      <c r="G68" s="114"/>
      <c r="H68" s="114"/>
      <c r="I68" s="114"/>
      <c r="J68" s="114"/>
      <c r="K68" s="110"/>
      <c r="L68" s="110"/>
      <c r="M68" s="110"/>
      <c r="N68" s="110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104"/>
      <c r="Z68" s="192"/>
      <c r="AA68" s="192"/>
      <c r="AB68" s="192"/>
      <c r="AC68" s="192"/>
      <c r="AD68" s="115"/>
      <c r="AE68" s="174" t="str">
        <f>IFERROR((VLOOKUP(O68,Hoja2!C66:D70,2,FALSE)),"")</f>
        <v/>
      </c>
      <c r="AF68" s="174"/>
      <c r="AG68" s="174"/>
      <c r="AH68" s="174"/>
      <c r="AI68" s="174"/>
      <c r="AJ68" s="115"/>
      <c r="AK68" s="174" t="str">
        <f>IF(Z68="","",((Z68*AE68)*1.21))</f>
        <v/>
      </c>
      <c r="AL68" s="174"/>
      <c r="AM68" s="174"/>
      <c r="AN68" s="174"/>
      <c r="AO68" s="34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33"/>
      <c r="BM68" s="33"/>
      <c r="BN68" s="33"/>
      <c r="BO68" s="33"/>
      <c r="BP68" s="33"/>
      <c r="BQ68" s="33"/>
      <c r="BR68" s="33"/>
      <c r="BS68" s="7"/>
      <c r="BT68" s="7"/>
      <c r="BU68" s="7"/>
      <c r="BV68" s="7"/>
      <c r="BW68" s="7"/>
      <c r="BX68" s="7"/>
      <c r="BY68" s="7"/>
      <c r="BZ68" s="7"/>
      <c r="CA68" s="8"/>
      <c r="CB68" s="8"/>
      <c r="CC68" s="8"/>
      <c r="CD68" s="8"/>
      <c r="CE68" s="8"/>
    </row>
    <row r="69" spans="1:130" ht="15" hidden="1" customHeight="1">
      <c r="A69" s="34"/>
      <c r="B69" s="114"/>
      <c r="C69" s="114"/>
      <c r="D69" s="114"/>
      <c r="E69" s="114"/>
      <c r="F69" s="114"/>
      <c r="G69" s="114"/>
      <c r="H69" s="114"/>
      <c r="I69" s="114"/>
      <c r="J69" s="114"/>
      <c r="K69" s="110"/>
      <c r="L69" s="110"/>
      <c r="M69" s="110"/>
      <c r="N69" s="110"/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104"/>
      <c r="Z69" s="262"/>
      <c r="AA69" s="262"/>
      <c r="AB69" s="262"/>
      <c r="AC69" s="262"/>
      <c r="AD69" s="115"/>
      <c r="AE69" s="191" t="str">
        <f>IFERROR((VLOOKUP(O69,Hoja2!C66:D84,2,FALSE)),"")</f>
        <v/>
      </c>
      <c r="AF69" s="191"/>
      <c r="AG69" s="191"/>
      <c r="AH69" s="191"/>
      <c r="AI69" s="191"/>
      <c r="AJ69" s="115"/>
      <c r="AK69" s="191" t="str">
        <f t="shared" si="10"/>
        <v/>
      </c>
      <c r="AL69" s="191"/>
      <c r="AM69" s="191"/>
      <c r="AN69" s="191"/>
      <c r="AO69" s="34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33"/>
      <c r="BM69" s="33"/>
      <c r="BN69" s="33"/>
      <c r="BO69" s="33"/>
      <c r="BP69" s="33"/>
      <c r="BQ69" s="33"/>
      <c r="BR69" s="33"/>
      <c r="BS69" s="7"/>
      <c r="BT69" s="7"/>
      <c r="BU69" s="7"/>
      <c r="BV69" s="7"/>
      <c r="BW69" s="7"/>
      <c r="BX69" s="7"/>
      <c r="BY69" s="7"/>
      <c r="BZ69" s="7"/>
      <c r="CA69" s="8"/>
      <c r="CB69" s="8"/>
      <c r="CC69" s="8"/>
      <c r="CD69" s="8"/>
      <c r="CE69" s="8"/>
    </row>
    <row r="70" spans="1:130" s="72" customFormat="1" ht="15" customHeight="1">
      <c r="A70" s="9"/>
      <c r="B70" s="114"/>
      <c r="C70" s="114"/>
      <c r="D70" s="114"/>
      <c r="E70" s="114"/>
      <c r="F70" s="114"/>
      <c r="G70" s="114"/>
      <c r="H70" s="114"/>
      <c r="I70" s="114"/>
      <c r="J70" s="114"/>
      <c r="K70" s="110"/>
      <c r="L70" s="110"/>
      <c r="M70" s="110"/>
      <c r="N70" s="110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00"/>
      <c r="Z70" s="150"/>
      <c r="AA70" s="150"/>
      <c r="AB70" s="150"/>
      <c r="AC70" s="150"/>
      <c r="AD70" s="116"/>
      <c r="AE70" s="173">
        <f>SUM(AE67:AH68)</f>
        <v>0</v>
      </c>
      <c r="AF70" s="173"/>
      <c r="AG70" s="173"/>
      <c r="AH70" s="173"/>
      <c r="AI70" s="138"/>
      <c r="AJ70" s="116"/>
      <c r="AK70" s="173">
        <f>SUM(AK67:AN68)</f>
        <v>0</v>
      </c>
      <c r="AL70" s="173"/>
      <c r="AM70" s="173"/>
      <c r="AN70" s="173"/>
      <c r="AO70" s="9"/>
      <c r="AP70" s="5"/>
      <c r="AQ70" s="16" t="s">
        <v>314</v>
      </c>
      <c r="AR70" s="70">
        <f>AK70/2</f>
        <v>0</v>
      </c>
      <c r="AS70" s="16"/>
      <c r="AT70" s="16"/>
      <c r="AU70" s="16"/>
      <c r="AV70" s="16"/>
      <c r="AW70" s="16"/>
      <c r="AX70" s="16"/>
      <c r="AY70" s="16"/>
      <c r="AZ70" s="16"/>
      <c r="BA70" s="16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17"/>
      <c r="CB70" s="17"/>
      <c r="CC70" s="17"/>
      <c r="CD70" s="17"/>
      <c r="CE70" s="17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62"/>
      <c r="DQ70" s="62"/>
      <c r="DR70" s="62"/>
      <c r="DS70" s="62"/>
      <c r="DT70" s="62"/>
      <c r="DU70" s="62"/>
      <c r="DV70" s="62"/>
      <c r="DW70" s="62"/>
    </row>
    <row r="71" spans="1:130" ht="15" customHeight="1">
      <c r="A71" s="34"/>
      <c r="B71" s="114"/>
      <c r="C71" s="114"/>
      <c r="D71" s="114"/>
      <c r="E71" s="114"/>
      <c r="F71" s="114"/>
      <c r="G71" s="114"/>
      <c r="H71" s="114"/>
      <c r="I71" s="114"/>
      <c r="J71" s="114"/>
      <c r="K71" s="254" t="s">
        <v>313</v>
      </c>
      <c r="L71" s="254"/>
      <c r="M71" s="254"/>
      <c r="N71" s="254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02"/>
      <c r="Z71" s="151"/>
      <c r="AA71" s="151"/>
      <c r="AB71" s="151"/>
      <c r="AC71" s="151"/>
      <c r="AD71" s="117"/>
      <c r="AE71" s="140"/>
      <c r="AF71" s="140"/>
      <c r="AG71" s="140"/>
      <c r="AH71" s="140"/>
      <c r="AI71" s="140"/>
      <c r="AJ71" s="117"/>
      <c r="AK71" s="140"/>
      <c r="AL71" s="140"/>
      <c r="AM71" s="140"/>
      <c r="AN71" s="140"/>
      <c r="AO71" s="34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33"/>
      <c r="BM71" s="33"/>
      <c r="BN71" s="33"/>
      <c r="BO71" s="33"/>
      <c r="BP71" s="33"/>
      <c r="BQ71" s="33"/>
      <c r="BR71" s="33"/>
      <c r="BS71" s="7"/>
      <c r="BT71" s="7"/>
      <c r="BU71" s="7"/>
      <c r="BV71" s="7"/>
      <c r="BW71" s="7"/>
      <c r="BX71" s="7"/>
      <c r="BY71" s="7"/>
      <c r="BZ71" s="7"/>
      <c r="CA71" s="8"/>
      <c r="CB71" s="8"/>
      <c r="CC71" s="8"/>
      <c r="CD71" s="8"/>
      <c r="CE71" s="8"/>
    </row>
    <row r="72" spans="1:130" s="2" customFormat="1" ht="15" customHeight="1">
      <c r="A72" s="34"/>
      <c r="B72" s="114"/>
      <c r="C72" s="114"/>
      <c r="D72" s="114"/>
      <c r="E72" s="114"/>
      <c r="F72" s="114"/>
      <c r="G72" s="114"/>
      <c r="H72" s="114"/>
      <c r="I72" s="114"/>
      <c r="J72" s="114"/>
      <c r="K72" s="110"/>
      <c r="L72" s="110"/>
      <c r="M72" s="110"/>
      <c r="N72" s="110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104"/>
      <c r="Z72" s="192"/>
      <c r="AA72" s="192"/>
      <c r="AB72" s="192"/>
      <c r="AC72" s="192"/>
      <c r="AD72" s="117"/>
      <c r="AE72" s="174" t="str">
        <f>IFERROR((VLOOKUP(O72,Hoja2!C69:D84,2,FALSE)),"")</f>
        <v/>
      </c>
      <c r="AF72" s="174"/>
      <c r="AG72" s="174"/>
      <c r="AH72" s="174"/>
      <c r="AI72" s="174"/>
      <c r="AJ72" s="115"/>
      <c r="AK72" s="174" t="str">
        <f t="shared" ref="AK72" si="11">IF(Z72="","",((Z72*AE72)*1.21))</f>
        <v/>
      </c>
      <c r="AL72" s="174"/>
      <c r="AM72" s="174"/>
      <c r="AN72" s="174"/>
      <c r="AO72" s="3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33"/>
      <c r="BM72" s="33"/>
      <c r="BN72" s="33"/>
      <c r="BO72" s="33"/>
      <c r="BP72" s="33"/>
      <c r="BQ72" s="33"/>
      <c r="BR72" s="33"/>
      <c r="BS72" s="7"/>
      <c r="BT72" s="7"/>
      <c r="BU72" s="7"/>
      <c r="BV72" s="7"/>
      <c r="BW72" s="7"/>
      <c r="BX72" s="7"/>
      <c r="BY72" s="7"/>
      <c r="BZ72" s="7"/>
      <c r="CA72" s="8"/>
      <c r="CB72" s="8"/>
      <c r="CC72" s="8"/>
      <c r="CD72" s="8"/>
      <c r="CE72" s="8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16"/>
      <c r="DK72" s="16"/>
      <c r="DL72" s="16"/>
      <c r="DM72" s="16"/>
      <c r="DN72" s="16"/>
      <c r="DO72" s="16"/>
      <c r="DP72" s="22"/>
      <c r="DQ72" s="22"/>
      <c r="DR72" s="22"/>
      <c r="DS72" s="22"/>
      <c r="DT72" s="22"/>
      <c r="DU72" s="22"/>
      <c r="DV72" s="22"/>
      <c r="DW72" s="13"/>
      <c r="DX72" s="19"/>
      <c r="DY72" s="19"/>
      <c r="DZ72" s="19"/>
    </row>
    <row r="73" spans="1:130" ht="15" customHeight="1">
      <c r="A73" s="34"/>
      <c r="B73" s="114"/>
      <c r="C73" s="114"/>
      <c r="D73" s="114"/>
      <c r="E73" s="114"/>
      <c r="F73" s="114"/>
      <c r="G73" s="114"/>
      <c r="H73" s="114"/>
      <c r="I73" s="114"/>
      <c r="J73" s="114"/>
      <c r="K73" s="110"/>
      <c r="L73" s="110"/>
      <c r="M73" s="110"/>
      <c r="N73" s="110"/>
      <c r="O73" s="209"/>
      <c r="P73" s="209"/>
      <c r="Q73" s="209"/>
      <c r="R73" s="209"/>
      <c r="S73" s="209"/>
      <c r="T73" s="209"/>
      <c r="U73" s="209"/>
      <c r="V73" s="209"/>
      <c r="W73" s="209"/>
      <c r="X73" s="209"/>
      <c r="Y73" s="104"/>
      <c r="Z73" s="192"/>
      <c r="AA73" s="192"/>
      <c r="AB73" s="192"/>
      <c r="AC73" s="192"/>
      <c r="AD73" s="117"/>
      <c r="AE73" s="174" t="str">
        <f>IFERROR((VLOOKUP(O73,Hoja2!C69:D84,2,FALSE)),"")</f>
        <v/>
      </c>
      <c r="AF73" s="174"/>
      <c r="AG73" s="174"/>
      <c r="AH73" s="174"/>
      <c r="AI73" s="174"/>
      <c r="AJ73" s="115"/>
      <c r="AK73" s="174" t="str">
        <f t="shared" ref="AK73:AK75" si="12">IF(Z73="","",((Z73*AE73)*1.21))</f>
        <v/>
      </c>
      <c r="AL73" s="174"/>
      <c r="AM73" s="174"/>
      <c r="AN73" s="174"/>
      <c r="AO73" s="34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33"/>
      <c r="BM73" s="33"/>
      <c r="BN73" s="33"/>
      <c r="BO73" s="33"/>
      <c r="BP73" s="33"/>
      <c r="BQ73" s="33"/>
      <c r="BR73" s="33"/>
      <c r="BS73" s="7"/>
      <c r="BT73" s="7"/>
      <c r="BU73" s="7"/>
      <c r="BV73" s="7"/>
      <c r="BW73" s="7"/>
      <c r="BX73" s="7"/>
      <c r="BY73" s="7"/>
      <c r="BZ73" s="7"/>
      <c r="CA73" s="8"/>
      <c r="CB73" s="8"/>
      <c r="CC73" s="8"/>
      <c r="CD73" s="8"/>
      <c r="CE73" s="8"/>
    </row>
    <row r="74" spans="1:130" ht="15" customHeight="1">
      <c r="A74" s="34"/>
      <c r="B74" s="114"/>
      <c r="C74" s="114"/>
      <c r="D74" s="114"/>
      <c r="E74" s="114"/>
      <c r="F74" s="114"/>
      <c r="G74" s="114"/>
      <c r="H74" s="114"/>
      <c r="I74" s="114"/>
      <c r="J74" s="114"/>
      <c r="K74" s="110"/>
      <c r="L74" s="110"/>
      <c r="M74" s="110"/>
      <c r="N74" s="110"/>
      <c r="O74" s="209"/>
      <c r="P74" s="209"/>
      <c r="Q74" s="209"/>
      <c r="R74" s="209"/>
      <c r="S74" s="209"/>
      <c r="T74" s="209"/>
      <c r="U74" s="209"/>
      <c r="V74" s="209"/>
      <c r="W74" s="209"/>
      <c r="X74" s="209"/>
      <c r="Y74" s="104"/>
      <c r="Z74" s="192"/>
      <c r="AA74" s="192"/>
      <c r="AB74" s="192"/>
      <c r="AC74" s="192"/>
      <c r="AD74" s="117"/>
      <c r="AE74" s="174" t="str">
        <f>IFERROR((VLOOKUP(O74,Hoja2!C69:D84,2,FALSE)),"")</f>
        <v/>
      </c>
      <c r="AF74" s="174"/>
      <c r="AG74" s="174"/>
      <c r="AH74" s="174"/>
      <c r="AI74" s="174"/>
      <c r="AJ74" s="115"/>
      <c r="AK74" s="174" t="str">
        <f t="shared" si="12"/>
        <v/>
      </c>
      <c r="AL74" s="174"/>
      <c r="AM74" s="174"/>
      <c r="AN74" s="174"/>
      <c r="AO74" s="34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33"/>
      <c r="BM74" s="33"/>
      <c r="BN74" s="33"/>
      <c r="BO74" s="33"/>
      <c r="BP74" s="33"/>
      <c r="BQ74" s="33"/>
      <c r="BR74" s="33"/>
      <c r="BS74" s="7"/>
      <c r="BT74" s="7"/>
      <c r="BU74" s="7"/>
      <c r="BV74" s="7"/>
      <c r="BW74" s="7"/>
      <c r="BX74" s="7"/>
      <c r="BY74" s="7"/>
      <c r="BZ74" s="7"/>
      <c r="CA74" s="8"/>
      <c r="CB74" s="8"/>
      <c r="CC74" s="8"/>
      <c r="CD74" s="8"/>
      <c r="CE74" s="8"/>
    </row>
    <row r="75" spans="1:130" ht="15" customHeight="1">
      <c r="A75" s="34"/>
      <c r="B75" s="114"/>
      <c r="C75" s="114"/>
      <c r="D75" s="114"/>
      <c r="E75" s="114"/>
      <c r="F75" s="114"/>
      <c r="G75" s="114"/>
      <c r="H75" s="114"/>
      <c r="I75" s="114"/>
      <c r="J75" s="114"/>
      <c r="K75" s="110"/>
      <c r="L75" s="110"/>
      <c r="M75" s="110"/>
      <c r="N75" s="110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104"/>
      <c r="Z75" s="192"/>
      <c r="AA75" s="192"/>
      <c r="AB75" s="192"/>
      <c r="AC75" s="192"/>
      <c r="AD75" s="117"/>
      <c r="AE75" s="174" t="str">
        <f>IFERROR((VLOOKUP(O75,Hoja2!C69:D84,2,FALSE)),"")</f>
        <v/>
      </c>
      <c r="AF75" s="174"/>
      <c r="AG75" s="174"/>
      <c r="AH75" s="174"/>
      <c r="AI75" s="174"/>
      <c r="AJ75" s="115"/>
      <c r="AK75" s="174" t="str">
        <f t="shared" si="12"/>
        <v/>
      </c>
      <c r="AL75" s="174"/>
      <c r="AM75" s="174"/>
      <c r="AN75" s="174"/>
      <c r="AO75" s="34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33"/>
      <c r="BM75" s="33"/>
      <c r="BN75" s="33"/>
      <c r="BO75" s="33"/>
      <c r="BP75" s="33"/>
      <c r="BQ75" s="33"/>
      <c r="BR75" s="33"/>
      <c r="BS75" s="7"/>
      <c r="BT75" s="7"/>
      <c r="BU75" s="7"/>
      <c r="BV75" s="7"/>
      <c r="BW75" s="7"/>
      <c r="BX75" s="7"/>
      <c r="BY75" s="7"/>
      <c r="BZ75" s="7"/>
      <c r="CA75" s="8"/>
      <c r="CB75" s="8"/>
      <c r="CC75" s="8"/>
      <c r="CD75" s="8"/>
      <c r="CE75" s="8"/>
    </row>
    <row r="76" spans="1:130" ht="15" customHeight="1">
      <c r="A76" s="34"/>
      <c r="B76" s="114"/>
      <c r="C76" s="114"/>
      <c r="D76" s="114"/>
      <c r="E76" s="114"/>
      <c r="F76" s="114"/>
      <c r="G76" s="114"/>
      <c r="H76" s="114"/>
      <c r="I76" s="114"/>
      <c r="J76" s="114"/>
      <c r="K76" s="110"/>
      <c r="L76" s="110"/>
      <c r="M76" s="110"/>
      <c r="N76" s="110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102"/>
      <c r="Z76" s="192"/>
      <c r="AA76" s="192"/>
      <c r="AB76" s="192"/>
      <c r="AC76" s="192"/>
      <c r="AD76" s="117"/>
      <c r="AE76" s="174" t="str">
        <f>IFERROR((VLOOKUP(O76,Hoja2!C70:D85,2,FALSE)),"")</f>
        <v/>
      </c>
      <c r="AF76" s="174"/>
      <c r="AG76" s="174"/>
      <c r="AH76" s="174"/>
      <c r="AI76" s="174"/>
      <c r="AJ76" s="117"/>
      <c r="AK76" s="174" t="str">
        <f t="shared" ref="AK76" si="13">IF(Z76="","",((Z76*AE76)*1.21))</f>
        <v/>
      </c>
      <c r="AL76" s="174"/>
      <c r="AM76" s="174"/>
      <c r="AN76" s="174"/>
      <c r="AO76" s="34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33"/>
      <c r="BM76" s="33"/>
      <c r="BN76" s="33"/>
      <c r="BO76" s="33"/>
      <c r="BP76" s="33"/>
      <c r="BQ76" s="33"/>
      <c r="BR76" s="33"/>
      <c r="BS76" s="7"/>
      <c r="BT76" s="7"/>
      <c r="BU76" s="7"/>
      <c r="BV76" s="7"/>
      <c r="BW76" s="7"/>
      <c r="BX76" s="7"/>
      <c r="BY76" s="7"/>
      <c r="BZ76" s="7"/>
      <c r="CA76" s="8"/>
      <c r="CB76" s="8"/>
      <c r="CC76" s="8"/>
      <c r="CD76" s="8"/>
      <c r="CE76" s="8"/>
    </row>
    <row r="77" spans="1:130" ht="15" hidden="1" customHeight="1">
      <c r="A77" s="34"/>
      <c r="B77" s="114"/>
      <c r="C77" s="114"/>
      <c r="D77" s="114"/>
      <c r="E77" s="114"/>
      <c r="F77" s="114"/>
      <c r="G77" s="114"/>
      <c r="H77" s="114"/>
      <c r="I77" s="114"/>
      <c r="J77" s="114"/>
      <c r="K77" s="184" t="s">
        <v>306</v>
      </c>
      <c r="L77" s="184"/>
      <c r="M77" s="184"/>
      <c r="N77" s="184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34"/>
      <c r="AS77" s="69">
        <f>SUM(AK77:AN79)</f>
        <v>0</v>
      </c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33"/>
      <c r="BM77" s="33"/>
      <c r="BN77" s="33"/>
      <c r="BO77" s="33"/>
      <c r="BP77" s="33"/>
      <c r="BQ77" s="33"/>
      <c r="BR77" s="33"/>
      <c r="BS77" s="7"/>
      <c r="BT77" s="7"/>
      <c r="BU77" s="7"/>
      <c r="BV77" s="7"/>
      <c r="BW77" s="7"/>
      <c r="BX77" s="7"/>
      <c r="BY77" s="7"/>
      <c r="BZ77" s="7"/>
      <c r="CA77" s="8"/>
      <c r="CB77" s="8"/>
      <c r="CC77" s="8"/>
      <c r="CD77" s="8"/>
      <c r="CE77" s="8"/>
    </row>
    <row r="78" spans="1:130" ht="15" hidden="1" customHeight="1">
      <c r="A78" s="34"/>
      <c r="B78" s="114"/>
      <c r="C78" s="114"/>
      <c r="D78" s="114"/>
      <c r="E78" s="114"/>
      <c r="F78" s="114"/>
      <c r="G78" s="114"/>
      <c r="H78" s="114"/>
      <c r="I78" s="114"/>
      <c r="J78" s="114"/>
      <c r="K78" s="102"/>
      <c r="L78" s="102"/>
      <c r="M78" s="102"/>
      <c r="N78" s="102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02"/>
      <c r="Z78" s="172"/>
      <c r="AA78" s="172"/>
      <c r="AB78" s="172"/>
      <c r="AC78" s="172"/>
      <c r="AD78" s="117"/>
      <c r="AE78" s="246" t="str">
        <f>IFERROR((VLOOKUP(O78,Hoja2!F66:G68,2,FALSE)),"")</f>
        <v/>
      </c>
      <c r="AF78" s="246"/>
      <c r="AG78" s="246"/>
      <c r="AH78" s="246"/>
      <c r="AI78" s="246"/>
      <c r="AJ78" s="117"/>
      <c r="AK78" s="246"/>
      <c r="AL78" s="246"/>
      <c r="AM78" s="246"/>
      <c r="AN78" s="246"/>
      <c r="AO78" s="34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33"/>
      <c r="BM78" s="33"/>
      <c r="BN78" s="33"/>
      <c r="BO78" s="33"/>
      <c r="BP78" s="33"/>
      <c r="BQ78" s="33"/>
      <c r="BR78" s="33"/>
      <c r="BS78" s="7"/>
      <c r="BT78" s="7"/>
      <c r="BU78" s="7"/>
      <c r="BV78" s="7"/>
      <c r="BW78" s="7"/>
      <c r="BX78" s="7"/>
      <c r="BY78" s="7"/>
      <c r="BZ78" s="7"/>
      <c r="CA78" s="8"/>
      <c r="CB78" s="8"/>
      <c r="CC78" s="8"/>
      <c r="CD78" s="8"/>
      <c r="CE78" s="8"/>
    </row>
    <row r="79" spans="1:130" ht="15" hidden="1" customHeight="1">
      <c r="A79" s="34"/>
      <c r="B79" s="114"/>
      <c r="C79" s="114"/>
      <c r="D79" s="114"/>
      <c r="E79" s="114"/>
      <c r="F79" s="114"/>
      <c r="G79" s="114"/>
      <c r="H79" s="114"/>
      <c r="I79" s="114"/>
      <c r="J79" s="114"/>
      <c r="K79" s="102"/>
      <c r="L79" s="102"/>
      <c r="M79" s="102"/>
      <c r="N79" s="102"/>
      <c r="O79" s="193"/>
      <c r="P79" s="193"/>
      <c r="Q79" s="193"/>
      <c r="R79" s="193"/>
      <c r="S79" s="193"/>
      <c r="T79" s="193"/>
      <c r="U79" s="193"/>
      <c r="V79" s="193"/>
      <c r="W79" s="193"/>
      <c r="X79" s="193"/>
      <c r="Y79" s="102"/>
      <c r="Z79" s="172"/>
      <c r="AA79" s="172"/>
      <c r="AB79" s="172"/>
      <c r="AC79" s="172"/>
      <c r="AD79" s="117"/>
      <c r="AE79" s="181" t="str">
        <f>IFERROR((VLOOKUP(O79,Hoja2!F66:G68,2,FALSE)),"")</f>
        <v/>
      </c>
      <c r="AF79" s="181"/>
      <c r="AG79" s="181"/>
      <c r="AH79" s="181"/>
      <c r="AI79" s="181"/>
      <c r="AJ79" s="117"/>
      <c r="AK79" s="181" t="str">
        <f t="shared" ref="AK79" si="14">IF(Z79="","",((Z79*AE79)*1.21))</f>
        <v/>
      </c>
      <c r="AL79" s="181"/>
      <c r="AM79" s="181"/>
      <c r="AN79" s="181"/>
      <c r="AO79" s="34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33"/>
      <c r="BM79" s="33"/>
      <c r="BN79" s="33"/>
      <c r="BO79" s="33"/>
      <c r="BP79" s="33"/>
      <c r="BQ79" s="33"/>
      <c r="BR79" s="33"/>
      <c r="BS79" s="7"/>
      <c r="BT79" s="7"/>
      <c r="BU79" s="7"/>
      <c r="BV79" s="7"/>
      <c r="BW79" s="7"/>
      <c r="BX79" s="7"/>
      <c r="BY79" s="7"/>
      <c r="BZ79" s="7"/>
      <c r="CA79" s="8"/>
      <c r="CB79" s="8"/>
      <c r="CC79" s="8"/>
      <c r="CD79" s="8"/>
      <c r="CE79" s="8"/>
    </row>
    <row r="80" spans="1:130" ht="15" hidden="1" customHeight="1">
      <c r="A80" s="34"/>
      <c r="B80" s="114"/>
      <c r="C80" s="114"/>
      <c r="D80" s="114"/>
      <c r="E80" s="114"/>
      <c r="F80" s="114"/>
      <c r="G80" s="114"/>
      <c r="H80" s="114"/>
      <c r="I80" s="114"/>
      <c r="J80" s="114"/>
      <c r="K80" s="102"/>
      <c r="L80" s="102"/>
      <c r="M80" s="102"/>
      <c r="N80" s="102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02"/>
      <c r="Z80" s="172"/>
      <c r="AA80" s="172"/>
      <c r="AB80" s="172"/>
      <c r="AC80" s="172"/>
      <c r="AD80" s="117"/>
      <c r="AE80" s="173" t="str">
        <f>IFERROR((VLOOKUP(O80,Hoja2!F67:G69,2,FALSE)),"")</f>
        <v/>
      </c>
      <c r="AF80" s="173"/>
      <c r="AG80" s="173"/>
      <c r="AH80" s="173"/>
      <c r="AI80" s="173"/>
      <c r="AJ80" s="117"/>
      <c r="AK80" s="173" t="str">
        <f t="shared" ref="AK80" si="15">IF(Z80="","",((Z80*AE80)*1.21))</f>
        <v/>
      </c>
      <c r="AL80" s="173"/>
      <c r="AM80" s="173"/>
      <c r="AN80" s="173"/>
      <c r="AO80" s="34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33"/>
      <c r="BM80" s="33"/>
      <c r="BN80" s="33"/>
      <c r="BO80" s="33"/>
      <c r="BP80" s="33"/>
      <c r="BQ80" s="33"/>
      <c r="BR80" s="33"/>
      <c r="BS80" s="7"/>
      <c r="BT80" s="7"/>
      <c r="BU80" s="7"/>
      <c r="BV80" s="7"/>
      <c r="BW80" s="7"/>
      <c r="BX80" s="7"/>
      <c r="BY80" s="7"/>
      <c r="BZ80" s="7"/>
      <c r="CA80" s="8"/>
      <c r="CB80" s="8"/>
      <c r="CC80" s="8"/>
      <c r="CD80" s="8"/>
      <c r="CE80" s="8"/>
    </row>
    <row r="81" spans="1:83" ht="15" customHeight="1">
      <c r="A81" s="9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00"/>
      <c r="Z81" s="100"/>
      <c r="AA81" s="100"/>
      <c r="AB81" s="100"/>
      <c r="AC81" s="100"/>
      <c r="AD81" s="100"/>
      <c r="AE81" s="173">
        <f>SUM(AE72:AI76)</f>
        <v>0</v>
      </c>
      <c r="AF81" s="173"/>
      <c r="AG81" s="173"/>
      <c r="AH81" s="173"/>
      <c r="AI81" s="138"/>
      <c r="AJ81" s="116"/>
      <c r="AK81" s="173">
        <f>SUM(AK72:AN76)</f>
        <v>0</v>
      </c>
      <c r="AL81" s="173"/>
      <c r="AM81" s="173"/>
      <c r="AN81" s="173"/>
      <c r="AO81" s="34"/>
      <c r="AP81" s="25"/>
      <c r="AQ81" s="25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33"/>
      <c r="BM81" s="33"/>
      <c r="BN81" s="33"/>
      <c r="BO81" s="33"/>
      <c r="BP81" s="33"/>
      <c r="BQ81" s="33"/>
      <c r="BR81" s="33"/>
      <c r="BS81" s="7"/>
      <c r="BT81" s="7"/>
      <c r="BU81" s="7"/>
      <c r="BV81" s="7"/>
      <c r="BW81" s="7"/>
      <c r="BX81" s="7"/>
      <c r="BY81" s="7"/>
      <c r="BZ81" s="7"/>
      <c r="CA81" s="8"/>
      <c r="CB81" s="8"/>
      <c r="CC81" s="8"/>
      <c r="CD81" s="8"/>
      <c r="CE81" s="8"/>
    </row>
    <row r="82" spans="1:83" ht="15" customHeight="1">
      <c r="A82" s="34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00"/>
      <c r="Z82" s="100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34"/>
      <c r="AP82" s="25"/>
      <c r="AQ82" s="25"/>
      <c r="AS82" s="91" t="s">
        <v>311</v>
      </c>
      <c r="AT82" s="92"/>
      <c r="AU82" s="15"/>
      <c r="AV82" s="71"/>
      <c r="AW82" s="71"/>
      <c r="AX82" s="71"/>
      <c r="AY82" s="71"/>
      <c r="AZ82" s="71"/>
      <c r="BA82" s="71"/>
      <c r="BB82" s="71"/>
      <c r="BC82" s="252">
        <f>SUM(Q48,Q51:T62)-((SUM(Q48,Q51:T62))*0.8)</f>
        <v>21.819999999999993</v>
      </c>
      <c r="BD82" s="253"/>
      <c r="BE82" s="253"/>
      <c r="BF82" s="253"/>
      <c r="BG82" s="7"/>
      <c r="BH82" s="7"/>
      <c r="BI82" s="7"/>
      <c r="BJ82" s="7"/>
      <c r="BK82" s="7"/>
      <c r="BL82" s="33"/>
      <c r="BM82" s="33"/>
      <c r="BN82" s="33"/>
      <c r="BO82" s="33"/>
      <c r="BP82" s="33"/>
      <c r="BQ82" s="33"/>
      <c r="BR82" s="33"/>
      <c r="BS82" s="7"/>
      <c r="BT82" s="7"/>
      <c r="BU82" s="7"/>
      <c r="BV82" s="7"/>
      <c r="BW82" s="7"/>
      <c r="BX82" s="7"/>
      <c r="BY82" s="7"/>
      <c r="BZ82" s="7"/>
      <c r="CA82" s="8"/>
      <c r="CB82" s="8"/>
      <c r="CC82" s="8"/>
      <c r="CD82" s="8"/>
      <c r="CE82" s="8"/>
    </row>
    <row r="83" spans="1:83" ht="15" customHeight="1">
      <c r="A83" s="34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00"/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34"/>
      <c r="AP83" s="25"/>
      <c r="AQ83" s="25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33"/>
      <c r="BM83" s="33"/>
      <c r="BN83" s="33"/>
      <c r="BO83" s="33"/>
      <c r="BP83" s="33"/>
      <c r="BQ83" s="33"/>
      <c r="BR83" s="33"/>
      <c r="BS83" s="7"/>
      <c r="BT83" s="7"/>
      <c r="BU83" s="7"/>
      <c r="BV83" s="7"/>
      <c r="BW83" s="7"/>
      <c r="BX83" s="7"/>
      <c r="BY83" s="7"/>
      <c r="BZ83" s="7"/>
      <c r="CA83" s="8"/>
      <c r="CB83" s="8"/>
      <c r="CC83" s="8"/>
      <c r="CD83" s="8"/>
      <c r="CE83" s="8"/>
    </row>
    <row r="84" spans="1:83" ht="18" customHeight="1">
      <c r="A84" s="34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67" t="s">
        <v>336</v>
      </c>
      <c r="AB84" s="167"/>
      <c r="AC84" s="167"/>
      <c r="AD84" s="167"/>
      <c r="AE84" s="167"/>
      <c r="AF84" s="167"/>
      <c r="AG84" s="167"/>
      <c r="AH84" s="167"/>
      <c r="AI84" s="167"/>
      <c r="AJ84" s="102"/>
      <c r="AK84" s="168">
        <f>AR48+AK70+AK81</f>
        <v>132.011</v>
      </c>
      <c r="AL84" s="182"/>
      <c r="AM84" s="182"/>
      <c r="AN84" s="183"/>
      <c r="AO84" s="34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33"/>
      <c r="BM84" s="33"/>
      <c r="BN84" s="33"/>
      <c r="BO84" s="33"/>
      <c r="BP84" s="33"/>
      <c r="BQ84" s="33"/>
      <c r="BR84" s="33"/>
      <c r="BS84" s="7"/>
      <c r="BT84" s="7"/>
      <c r="BU84" s="7"/>
      <c r="BV84" s="7"/>
      <c r="BW84" s="7"/>
      <c r="BX84" s="7"/>
      <c r="BY84" s="7"/>
      <c r="BZ84" s="7"/>
      <c r="CA84" s="8"/>
      <c r="CB84" s="8"/>
      <c r="CC84" s="8"/>
      <c r="CD84" s="8"/>
      <c r="CE84" s="8"/>
    </row>
    <row r="85" spans="1:83" ht="18" customHeight="1" thickBot="1">
      <c r="A85" s="34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  <c r="W85" s="100"/>
      <c r="X85" s="100"/>
      <c r="Y85" s="100"/>
      <c r="Z85" s="100"/>
      <c r="AA85" s="100"/>
      <c r="AB85" s="100"/>
      <c r="AC85" s="100"/>
      <c r="AD85" s="100"/>
      <c r="AE85" s="100"/>
      <c r="AF85" s="100"/>
      <c r="AG85" s="100"/>
      <c r="AH85" s="100"/>
      <c r="AI85" s="100"/>
      <c r="AJ85" s="100"/>
      <c r="AK85" s="134"/>
      <c r="AL85" s="134"/>
      <c r="AM85" s="134"/>
      <c r="AN85" s="134"/>
      <c r="AO85" s="34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33"/>
      <c r="BM85" s="33"/>
      <c r="BN85" s="33"/>
      <c r="BO85" s="33"/>
      <c r="BP85" s="33"/>
      <c r="BQ85" s="33"/>
      <c r="BR85" s="33"/>
      <c r="BS85" s="7"/>
      <c r="BT85" s="7"/>
      <c r="BU85" s="7"/>
      <c r="BV85" s="7"/>
      <c r="BW85" s="7"/>
      <c r="BX85" s="7"/>
      <c r="BY85" s="7"/>
      <c r="BZ85" s="7"/>
      <c r="CA85" s="8"/>
      <c r="CB85" s="8"/>
      <c r="CC85" s="8"/>
      <c r="CD85" s="8"/>
      <c r="CE85" s="8"/>
    </row>
    <row r="86" spans="1:83" ht="18" customHeight="1" thickBot="1">
      <c r="A86" s="34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255" t="s">
        <v>356</v>
      </c>
      <c r="P86" s="256"/>
      <c r="Q86" s="256"/>
      <c r="R86" s="256"/>
      <c r="S86" s="256"/>
      <c r="T86" s="256"/>
      <c r="U86" s="256"/>
      <c r="V86" s="256"/>
      <c r="W86" s="256"/>
      <c r="X86" s="257"/>
      <c r="Y86" s="100"/>
      <c r="Z86" s="100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8"/>
      <c r="AL86" s="169"/>
      <c r="AM86" s="169"/>
      <c r="AN86" s="170"/>
      <c r="AO86" s="34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33"/>
      <c r="BM86" s="33"/>
      <c r="BN86" s="33"/>
      <c r="BO86" s="33"/>
      <c r="BP86" s="33"/>
      <c r="BQ86" s="33"/>
      <c r="BR86" s="33"/>
      <c r="BS86" s="7"/>
      <c r="BT86" s="7"/>
      <c r="BU86" s="7"/>
      <c r="BV86" s="7"/>
      <c r="BW86" s="7"/>
      <c r="BX86" s="7"/>
      <c r="BY86" s="7"/>
      <c r="BZ86" s="7"/>
      <c r="CA86" s="8"/>
      <c r="CB86" s="8"/>
      <c r="CC86" s="8"/>
      <c r="CD86" s="8"/>
      <c r="CE86" s="8"/>
    </row>
    <row r="87" spans="1:83" ht="18" customHeight="1">
      <c r="A87" s="34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34"/>
      <c r="AL87" s="134"/>
      <c r="AM87" s="134"/>
      <c r="AN87" s="134"/>
      <c r="AO87" s="34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33"/>
      <c r="BM87" s="33"/>
      <c r="BN87" s="33"/>
      <c r="BO87" s="33"/>
      <c r="BP87" s="33"/>
      <c r="BQ87" s="33"/>
      <c r="BR87" s="33"/>
      <c r="BS87" s="7"/>
      <c r="BT87" s="7"/>
      <c r="BU87" s="7"/>
      <c r="BV87" s="7"/>
      <c r="BW87" s="7"/>
      <c r="BX87" s="7"/>
      <c r="BY87" s="7"/>
      <c r="BZ87" s="7"/>
      <c r="CA87" s="8"/>
      <c r="CB87" s="8"/>
      <c r="CC87" s="8"/>
      <c r="CD87" s="8"/>
      <c r="CE87" s="8"/>
    </row>
    <row r="88" spans="1:83" ht="18" customHeight="1">
      <c r="A88" s="34"/>
      <c r="B88" s="102"/>
      <c r="C88" s="102"/>
      <c r="D88" s="102"/>
      <c r="E88" s="102"/>
      <c r="F88" s="102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213" t="s">
        <v>335</v>
      </c>
      <c r="AB88" s="213"/>
      <c r="AC88" s="213"/>
      <c r="AD88" s="213"/>
      <c r="AE88" s="213"/>
      <c r="AF88" s="213"/>
      <c r="AG88" s="213"/>
      <c r="AH88" s="213"/>
      <c r="AI88" s="213"/>
      <c r="AJ88" s="213"/>
      <c r="AK88" s="168">
        <f>AR49+AK70+AK81</f>
        <v>105.6088</v>
      </c>
      <c r="AL88" s="169"/>
      <c r="AM88" s="169"/>
      <c r="AN88" s="170"/>
      <c r="AO88" s="34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34"/>
      <c r="BM88" s="34"/>
      <c r="BN88" s="34"/>
      <c r="BO88" s="34"/>
      <c r="BP88" s="34"/>
      <c r="BQ88" s="34"/>
      <c r="BR88" s="34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8"/>
      <c r="CE88" s="8"/>
    </row>
    <row r="89" spans="1:83" ht="15" customHeight="1">
      <c r="A89" s="34"/>
      <c r="B89" s="102"/>
      <c r="C89" s="102"/>
      <c r="D89" s="118"/>
      <c r="E89" s="118"/>
      <c r="F89" s="118"/>
      <c r="G89" s="229" t="str">
        <f>IF(W89="","","te ahorrarás al año")</f>
        <v>te ahorrarás al año</v>
      </c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29"/>
      <c r="S89" s="229"/>
      <c r="T89" s="229"/>
      <c r="U89" s="229"/>
      <c r="V89" s="119"/>
      <c r="W89" s="165">
        <f>IF((IFERROR(AK90*12,"")&lt;0),"",IFERROR(AK90*12,""))</f>
        <v>155.86800000000005</v>
      </c>
      <c r="X89" s="165"/>
      <c r="Y89" s="165"/>
      <c r="Z89" s="165"/>
      <c r="AA89" s="165"/>
      <c r="AB89" s="165"/>
      <c r="AC89" s="165"/>
      <c r="AD89" s="102"/>
      <c r="AE89" s="139"/>
      <c r="AF89" s="139"/>
      <c r="AG89" s="139"/>
      <c r="AH89" s="139"/>
      <c r="AI89" s="139"/>
      <c r="AJ89" s="102"/>
      <c r="AK89" s="102"/>
      <c r="AL89" s="102"/>
      <c r="AM89" s="102"/>
      <c r="AN89" s="102"/>
      <c r="AO89" s="34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34"/>
      <c r="BM89" s="34"/>
      <c r="BN89" s="34"/>
      <c r="BO89" s="34"/>
      <c r="BP89" s="34"/>
      <c r="BQ89" s="34"/>
      <c r="BR89" s="34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8"/>
      <c r="CE89" s="8"/>
    </row>
    <row r="90" spans="1:83" ht="15" customHeight="1">
      <c r="A90" s="34"/>
      <c r="B90" s="102"/>
      <c r="C90" s="118"/>
      <c r="D90" s="118"/>
      <c r="E90" s="118"/>
      <c r="F90" s="118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119"/>
      <c r="W90" s="165"/>
      <c r="X90" s="165"/>
      <c r="Y90" s="165"/>
      <c r="Z90" s="165"/>
      <c r="AA90" s="165"/>
      <c r="AB90" s="165"/>
      <c r="AC90" s="165"/>
      <c r="AD90" s="102"/>
      <c r="AE90" s="118" t="str">
        <f>IFERROR((IF(AK90="","","ahorras al mes")),"")</f>
        <v>ahorras al mes</v>
      </c>
      <c r="AF90" s="118"/>
      <c r="AG90" s="118"/>
      <c r="AH90" s="118"/>
      <c r="AI90" s="118"/>
      <c r="AJ90" s="102"/>
      <c r="AK90" s="165">
        <f>IFERROR((IF(((AK38-AK84)&lt;0),"",AK38-AK84)),"")</f>
        <v>12.989000000000004</v>
      </c>
      <c r="AL90" s="165"/>
      <c r="AM90" s="165"/>
      <c r="AN90" s="165"/>
      <c r="AO90" s="34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34"/>
      <c r="BM90" s="34"/>
      <c r="BN90" s="34"/>
      <c r="BO90" s="34"/>
      <c r="BP90" s="34"/>
      <c r="BQ90" s="34"/>
      <c r="BR90" s="34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8"/>
      <c r="CE90" s="8"/>
    </row>
    <row r="91" spans="1:83" ht="20.25" customHeight="1">
      <c r="A91" s="34"/>
      <c r="B91" s="102"/>
      <c r="C91" s="102"/>
      <c r="D91" s="102"/>
      <c r="E91" s="102"/>
      <c r="F91" s="102"/>
      <c r="G91" s="102"/>
      <c r="H91" s="102"/>
      <c r="I91" s="102"/>
      <c r="J91" s="102"/>
      <c r="K91" s="102"/>
      <c r="L91" s="102"/>
      <c r="M91" s="176" t="s">
        <v>317</v>
      </c>
      <c r="N91" s="176"/>
      <c r="O91" s="176"/>
      <c r="P91" s="176"/>
      <c r="Q91" s="176"/>
      <c r="R91" s="176"/>
      <c r="S91" s="176"/>
      <c r="T91" s="176"/>
      <c r="U91" s="176"/>
      <c r="V91" s="102"/>
      <c r="W91" s="177">
        <f>SUM(AF51:AI62)</f>
        <v>0</v>
      </c>
      <c r="X91" s="177"/>
      <c r="Y91" s="177"/>
      <c r="Z91" s="177"/>
      <c r="AA91" s="177"/>
      <c r="AB91" s="177"/>
      <c r="AC91" s="177"/>
      <c r="AD91" s="178">
        <f>W91*1.21</f>
        <v>0</v>
      </c>
      <c r="AE91" s="179"/>
      <c r="AF91" s="179"/>
      <c r="AG91" s="179"/>
      <c r="AH91" s="179" t="s">
        <v>318</v>
      </c>
      <c r="AI91" s="179"/>
      <c r="AJ91" s="179"/>
      <c r="AK91" s="165"/>
      <c r="AL91" s="165"/>
      <c r="AM91" s="165"/>
      <c r="AN91" s="165"/>
      <c r="AO91" s="34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34"/>
      <c r="BM91" s="34"/>
      <c r="BN91" s="34"/>
      <c r="BO91" s="34"/>
      <c r="BP91" s="34"/>
      <c r="BQ91" s="34"/>
      <c r="BR91" s="34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8"/>
      <c r="CE91" s="8"/>
    </row>
    <row r="92" spans="1:83" ht="15" customHeight="1">
      <c r="A92" s="34"/>
      <c r="B92" s="102"/>
      <c r="C92" s="102"/>
      <c r="D92" s="102"/>
      <c r="E92" s="102"/>
      <c r="F92" s="102"/>
      <c r="G92" s="102"/>
      <c r="H92" s="102"/>
      <c r="I92" s="102"/>
      <c r="J92" s="102"/>
      <c r="K92" s="102"/>
      <c r="L92" s="102"/>
      <c r="M92" s="176" t="s">
        <v>5</v>
      </c>
      <c r="N92" s="176"/>
      <c r="O92" s="176"/>
      <c r="P92" s="176"/>
      <c r="Q92" s="176"/>
      <c r="R92" s="176"/>
      <c r="S92" s="176"/>
      <c r="T92" s="176"/>
      <c r="U92" s="176"/>
      <c r="V92" s="102"/>
      <c r="W92" s="177">
        <f>SUM(AB51:AB62)</f>
        <v>0</v>
      </c>
      <c r="X92" s="177"/>
      <c r="Y92" s="177"/>
      <c r="Z92" s="177"/>
      <c r="AA92" s="177"/>
      <c r="AB92" s="177"/>
      <c r="AC92" s="177"/>
      <c r="AD92" s="178">
        <f>W92*1.21</f>
        <v>0</v>
      </c>
      <c r="AE92" s="179"/>
      <c r="AF92" s="179"/>
      <c r="AG92" s="179"/>
      <c r="AH92" s="179" t="s">
        <v>318</v>
      </c>
      <c r="AI92" s="179"/>
      <c r="AJ92" s="179"/>
      <c r="AK92" s="120"/>
      <c r="AL92" s="120"/>
      <c r="AM92" s="120"/>
      <c r="AN92" s="120"/>
      <c r="AO92" s="34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34"/>
      <c r="BM92" s="34"/>
      <c r="BN92" s="34"/>
      <c r="BO92" s="34"/>
      <c r="BP92" s="34"/>
      <c r="BQ92" s="34"/>
      <c r="BR92" s="34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8"/>
      <c r="CE92" s="8"/>
    </row>
    <row r="93" spans="1:83" ht="23.25" customHeight="1">
      <c r="A93" s="34"/>
      <c r="B93" s="102"/>
      <c r="C93" s="102"/>
      <c r="D93" s="102"/>
      <c r="E93" s="102"/>
      <c r="F93" s="102"/>
      <c r="G93" s="102"/>
      <c r="H93" s="102"/>
      <c r="I93" s="102"/>
      <c r="J93" s="102"/>
      <c r="K93" s="102"/>
      <c r="L93" s="102"/>
      <c r="M93" s="139"/>
      <c r="N93" s="139"/>
      <c r="O93" s="139"/>
      <c r="P93" s="139"/>
      <c r="Q93" s="139"/>
      <c r="R93" s="139"/>
      <c r="S93" s="139"/>
      <c r="T93" s="139"/>
      <c r="U93" s="139"/>
      <c r="V93" s="102"/>
      <c r="W93" s="138"/>
      <c r="X93" s="138"/>
      <c r="Y93" s="138"/>
      <c r="Z93" s="138"/>
      <c r="AA93" s="138"/>
      <c r="AB93" s="138"/>
      <c r="AC93" s="138"/>
      <c r="AD93" s="102"/>
      <c r="AE93" s="148"/>
      <c r="AF93" s="148"/>
      <c r="AG93" s="148"/>
      <c r="AH93" s="148"/>
      <c r="AI93" s="148"/>
      <c r="AJ93" s="102"/>
      <c r="AK93" s="120"/>
      <c r="AL93" s="120"/>
      <c r="AM93" s="120"/>
      <c r="AN93" s="120"/>
      <c r="AO93" s="34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34"/>
      <c r="BM93" s="34"/>
      <c r="BN93" s="34"/>
      <c r="BO93" s="34"/>
      <c r="BP93" s="34"/>
      <c r="BQ93" s="34"/>
      <c r="BR93" s="34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8"/>
      <c r="CE93" s="8"/>
    </row>
    <row r="94" spans="1:83" ht="15" customHeight="1">
      <c r="A94" s="34"/>
      <c r="B94" s="102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47" t="s">
        <v>12</v>
      </c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34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34"/>
      <c r="BM94" s="34"/>
      <c r="BN94" s="34"/>
      <c r="BO94" s="34"/>
      <c r="BP94" s="34"/>
      <c r="BQ94" s="34"/>
      <c r="BR94" s="34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8"/>
      <c r="CE94" s="8"/>
    </row>
    <row r="95" spans="1:83" ht="15" customHeight="1">
      <c r="A95" s="34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34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34"/>
      <c r="BM95" s="34"/>
      <c r="BN95" s="34"/>
      <c r="BO95" s="34"/>
      <c r="BP95" s="34"/>
      <c r="BQ95" s="34"/>
      <c r="BR95" s="34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8"/>
      <c r="CE95" s="8"/>
    </row>
    <row r="96" spans="1:83" ht="15" customHeight="1">
      <c r="A96" s="34"/>
      <c r="B96" s="102"/>
      <c r="C96" s="102"/>
      <c r="D96" s="102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2"/>
      <c r="AN96" s="102"/>
      <c r="AO96" s="34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34"/>
      <c r="BM96" s="34"/>
      <c r="BN96" s="34"/>
      <c r="BO96" s="34"/>
      <c r="BP96" s="34"/>
      <c r="BQ96" s="34"/>
      <c r="BR96" s="34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8"/>
      <c r="CE96" s="8"/>
    </row>
    <row r="97" spans="1:83" ht="15" customHeight="1">
      <c r="A97" s="34"/>
      <c r="B97" s="102"/>
      <c r="C97" s="102"/>
      <c r="D97" s="102" t="s">
        <v>13</v>
      </c>
      <c r="E97" s="122"/>
      <c r="F97" s="136" t="s">
        <v>310</v>
      </c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00"/>
      <c r="AL97" s="100"/>
      <c r="AM97" s="102"/>
      <c r="AN97" s="102"/>
      <c r="AO97" s="34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34"/>
      <c r="BM97" s="34"/>
      <c r="BN97" s="34"/>
      <c r="BO97" s="34"/>
      <c r="BP97" s="34"/>
      <c r="BQ97" s="34"/>
      <c r="BR97" s="34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8"/>
      <c r="CE97" s="8"/>
    </row>
    <row r="98" spans="1:83" ht="15" customHeight="1">
      <c r="A98" s="34"/>
      <c r="B98" s="102"/>
      <c r="C98" s="102"/>
      <c r="D98" s="102"/>
      <c r="E98" s="100"/>
      <c r="F98" s="100"/>
      <c r="G98" s="100"/>
      <c r="H98" s="100"/>
      <c r="I98" s="100"/>
      <c r="J98" s="100"/>
      <c r="K98" s="100"/>
      <c r="L98" s="100"/>
      <c r="M98" s="100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00"/>
      <c r="AL98" s="100"/>
      <c r="AM98" s="102"/>
      <c r="AN98" s="102"/>
      <c r="AO98" s="34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34"/>
      <c r="BM98" s="34"/>
      <c r="BN98" s="34"/>
      <c r="BO98" s="34"/>
      <c r="BP98" s="34"/>
      <c r="BQ98" s="34"/>
      <c r="BR98" s="34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8"/>
      <c r="CE98" s="8"/>
    </row>
    <row r="99" spans="1:83" ht="15" customHeight="1">
      <c r="A99" s="34"/>
      <c r="B99" s="102"/>
      <c r="C99" s="102"/>
      <c r="D99" s="102"/>
      <c r="E99" s="100"/>
      <c r="F99" s="100" t="s">
        <v>30</v>
      </c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225"/>
      <c r="S99" s="225"/>
      <c r="T99" s="225"/>
      <c r="U99" s="225"/>
      <c r="V99" s="225"/>
      <c r="W99" s="225"/>
      <c r="X99" s="225"/>
      <c r="Y99" s="225"/>
      <c r="Z99" s="225"/>
      <c r="AA99" s="100"/>
      <c r="AB99" s="100"/>
      <c r="AC99" s="100"/>
      <c r="AD99" s="100"/>
      <c r="AE99" s="100"/>
      <c r="AF99" s="100"/>
      <c r="AG99" s="100"/>
      <c r="AH99" s="100"/>
      <c r="AI99" s="100"/>
      <c r="AJ99" s="100"/>
      <c r="AK99" s="100"/>
      <c r="AL99" s="100"/>
      <c r="AM99" s="102"/>
      <c r="AN99" s="102"/>
      <c r="AO99" s="34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34"/>
      <c r="BM99" s="34"/>
      <c r="BN99" s="34"/>
      <c r="BO99" s="34"/>
      <c r="BP99" s="34"/>
      <c r="BQ99" s="34"/>
      <c r="BR99" s="34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8"/>
      <c r="CE99" s="8"/>
    </row>
    <row r="100" spans="1:83" ht="15" customHeight="1">
      <c r="A100" s="34"/>
      <c r="B100" s="102"/>
      <c r="C100" s="102"/>
      <c r="D100" s="102"/>
      <c r="E100" s="100"/>
      <c r="F100" s="100" t="s">
        <v>321</v>
      </c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2"/>
      <c r="AN100" s="102"/>
      <c r="AO100" s="34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34"/>
      <c r="BM100" s="34"/>
      <c r="BN100" s="34"/>
      <c r="BO100" s="34"/>
      <c r="BP100" s="34"/>
      <c r="BQ100" s="34"/>
      <c r="BR100" s="34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8"/>
      <c r="CE100" s="8"/>
    </row>
    <row r="101" spans="1:83" ht="15" customHeight="1">
      <c r="A101" s="34"/>
      <c r="B101" s="102"/>
      <c r="C101" s="102"/>
      <c r="D101" s="102"/>
      <c r="E101" s="100"/>
      <c r="F101" s="100" t="s">
        <v>322</v>
      </c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2"/>
      <c r="AN101" s="102"/>
      <c r="AO101" s="34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34"/>
      <c r="BM101" s="34"/>
      <c r="BN101" s="34"/>
      <c r="BO101" s="34"/>
      <c r="BP101" s="34"/>
      <c r="BQ101" s="34"/>
      <c r="BR101" s="34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8"/>
      <c r="CE101" s="8"/>
    </row>
    <row r="102" spans="1:83" ht="15" customHeight="1">
      <c r="A102" s="34"/>
      <c r="B102" s="102"/>
      <c r="C102" s="102"/>
      <c r="D102" s="102"/>
      <c r="E102" s="100"/>
      <c r="F102" s="100"/>
      <c r="G102" s="100"/>
      <c r="H102" s="100"/>
      <c r="I102" s="100" t="s">
        <v>31</v>
      </c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100"/>
      <c r="AM102" s="102"/>
      <c r="AN102" s="102"/>
      <c r="AO102" s="34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34"/>
      <c r="BM102" s="34"/>
      <c r="BN102" s="34"/>
      <c r="BO102" s="34"/>
      <c r="BP102" s="34"/>
      <c r="BQ102" s="34"/>
      <c r="BR102" s="34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8"/>
      <c r="CE102" s="8"/>
    </row>
    <row r="103" spans="1:83" ht="15" customHeight="1">
      <c r="A103" s="34"/>
      <c r="B103" s="102"/>
      <c r="C103" s="102"/>
      <c r="D103" s="102"/>
      <c r="E103" s="100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2"/>
      <c r="AN103" s="102"/>
      <c r="AO103" s="34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34"/>
      <c r="BM103" s="34"/>
      <c r="BN103" s="34"/>
      <c r="BO103" s="34"/>
      <c r="BP103" s="34"/>
      <c r="BQ103" s="34"/>
      <c r="BR103" s="34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8"/>
      <c r="CE103" s="8"/>
    </row>
    <row r="104" spans="1:83" ht="15" customHeight="1">
      <c r="A104" s="34"/>
      <c r="B104" s="102"/>
      <c r="C104" s="124"/>
      <c r="D104" s="124"/>
      <c r="E104" s="113"/>
      <c r="F104" s="113" t="s">
        <v>9</v>
      </c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24"/>
      <c r="AN104" s="124"/>
      <c r="AO104" s="34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34"/>
      <c r="BM104" s="34"/>
      <c r="BN104" s="34"/>
      <c r="BO104" s="34"/>
      <c r="BP104" s="34"/>
      <c r="BQ104" s="34"/>
      <c r="BR104" s="34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8"/>
      <c r="CE104" s="8"/>
    </row>
    <row r="105" spans="1:83" ht="15" customHeight="1">
      <c r="A105" s="34"/>
      <c r="B105" s="102"/>
      <c r="C105" s="124"/>
      <c r="D105" s="124"/>
      <c r="E105" s="125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24"/>
      <c r="S105" s="224"/>
      <c r="T105" s="224"/>
      <c r="U105" s="224"/>
      <c r="V105" s="224"/>
      <c r="W105" s="224"/>
      <c r="X105" s="224"/>
      <c r="Y105" s="224"/>
      <c r="Z105" s="224"/>
      <c r="AA105" s="224"/>
      <c r="AB105" s="224"/>
      <c r="AC105" s="224"/>
      <c r="AD105" s="224"/>
      <c r="AE105" s="224"/>
      <c r="AF105" s="224"/>
      <c r="AG105" s="224"/>
      <c r="AH105" s="224"/>
      <c r="AI105" s="224"/>
      <c r="AJ105" s="224"/>
      <c r="AK105" s="125"/>
      <c r="AL105" s="125"/>
      <c r="AM105" s="124"/>
      <c r="AN105" s="124"/>
      <c r="AO105" s="34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34"/>
      <c r="BM105" s="34"/>
      <c r="BN105" s="34"/>
      <c r="BO105" s="34"/>
      <c r="BP105" s="34"/>
      <c r="BQ105" s="34"/>
      <c r="BR105" s="34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8"/>
      <c r="CE105" s="8"/>
    </row>
    <row r="106" spans="1:83" ht="15" customHeight="1">
      <c r="A106" s="34"/>
      <c r="B106" s="102"/>
      <c r="C106" s="124"/>
      <c r="D106" s="124"/>
      <c r="E106" s="125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24"/>
      <c r="S106" s="224"/>
      <c r="T106" s="224"/>
      <c r="U106" s="224"/>
      <c r="V106" s="224"/>
      <c r="W106" s="224"/>
      <c r="X106" s="224"/>
      <c r="Y106" s="224"/>
      <c r="Z106" s="224"/>
      <c r="AA106" s="224"/>
      <c r="AB106" s="224"/>
      <c r="AC106" s="224"/>
      <c r="AD106" s="224"/>
      <c r="AE106" s="224"/>
      <c r="AF106" s="224"/>
      <c r="AG106" s="224"/>
      <c r="AH106" s="224"/>
      <c r="AI106" s="224"/>
      <c r="AJ106" s="224"/>
      <c r="AK106" s="125"/>
      <c r="AL106" s="125"/>
      <c r="AM106" s="124"/>
      <c r="AN106" s="124"/>
      <c r="AO106" s="34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34"/>
      <c r="BM106" s="34"/>
      <c r="BN106" s="34"/>
      <c r="BO106" s="34"/>
      <c r="BP106" s="34"/>
      <c r="BQ106" s="34"/>
      <c r="BR106" s="34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8"/>
      <c r="CE106" s="8"/>
    </row>
    <row r="107" spans="1:83" ht="15" customHeight="1">
      <c r="A107" s="34"/>
      <c r="B107" s="102"/>
      <c r="C107" s="124"/>
      <c r="D107" s="124"/>
      <c r="E107" s="125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24"/>
      <c r="S107" s="224"/>
      <c r="T107" s="224"/>
      <c r="U107" s="224"/>
      <c r="V107" s="224"/>
      <c r="W107" s="224"/>
      <c r="X107" s="224"/>
      <c r="Y107" s="224"/>
      <c r="Z107" s="224"/>
      <c r="AA107" s="224"/>
      <c r="AB107" s="224"/>
      <c r="AC107" s="224"/>
      <c r="AD107" s="224"/>
      <c r="AE107" s="224"/>
      <c r="AF107" s="224"/>
      <c r="AG107" s="224"/>
      <c r="AH107" s="224"/>
      <c r="AI107" s="224"/>
      <c r="AJ107" s="224"/>
      <c r="AK107" s="125"/>
      <c r="AL107" s="125"/>
      <c r="AM107" s="124"/>
      <c r="AN107" s="124"/>
      <c r="AO107" s="34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34"/>
      <c r="BM107" s="34"/>
      <c r="BN107" s="34"/>
      <c r="BO107" s="34"/>
      <c r="BP107" s="34"/>
      <c r="BQ107" s="34"/>
      <c r="BR107" s="34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8"/>
      <c r="CE107" s="8"/>
    </row>
    <row r="108" spans="1:83" ht="15" customHeight="1">
      <c r="A108" s="34"/>
      <c r="B108" s="102"/>
      <c r="C108" s="124"/>
      <c r="D108" s="124"/>
      <c r="E108" s="125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4"/>
      <c r="AC108" s="224"/>
      <c r="AD108" s="224"/>
      <c r="AE108" s="224"/>
      <c r="AF108" s="224"/>
      <c r="AG108" s="224"/>
      <c r="AH108" s="224"/>
      <c r="AI108" s="224"/>
      <c r="AJ108" s="224"/>
      <c r="AK108" s="125"/>
      <c r="AL108" s="125"/>
      <c r="AM108" s="124"/>
      <c r="AN108" s="124"/>
      <c r="AO108" s="34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34"/>
      <c r="BM108" s="34"/>
      <c r="BN108" s="34"/>
      <c r="BO108" s="34"/>
      <c r="BP108" s="34"/>
      <c r="BQ108" s="34"/>
      <c r="BR108" s="34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8"/>
      <c r="CE108" s="8"/>
    </row>
    <row r="109" spans="1:83" ht="15" customHeight="1">
      <c r="A109" s="34"/>
      <c r="B109" s="102"/>
      <c r="C109" s="124"/>
      <c r="D109" s="124"/>
      <c r="E109" s="125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24"/>
      <c r="S109" s="224"/>
      <c r="T109" s="224"/>
      <c r="U109" s="224"/>
      <c r="V109" s="224"/>
      <c r="W109" s="224"/>
      <c r="X109" s="224"/>
      <c r="Y109" s="224"/>
      <c r="Z109" s="224"/>
      <c r="AA109" s="224"/>
      <c r="AB109" s="224"/>
      <c r="AC109" s="224"/>
      <c r="AD109" s="224"/>
      <c r="AE109" s="224"/>
      <c r="AF109" s="224"/>
      <c r="AG109" s="224"/>
      <c r="AH109" s="224"/>
      <c r="AI109" s="224"/>
      <c r="AJ109" s="224"/>
      <c r="AK109" s="125"/>
      <c r="AL109" s="125"/>
      <c r="AM109" s="124"/>
      <c r="AN109" s="124"/>
      <c r="AO109" s="34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34"/>
      <c r="BM109" s="34"/>
      <c r="BN109" s="34"/>
      <c r="BO109" s="34"/>
      <c r="BP109" s="34"/>
      <c r="BQ109" s="34"/>
      <c r="BR109" s="34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8"/>
      <c r="CE109" s="8"/>
    </row>
    <row r="110" spans="1:83" ht="18" customHeight="1">
      <c r="A110" s="34"/>
      <c r="B110" s="102"/>
      <c r="C110" s="124"/>
      <c r="D110" s="124"/>
      <c r="E110" s="126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24"/>
      <c r="S110" s="224"/>
      <c r="T110" s="224"/>
      <c r="U110" s="224"/>
      <c r="V110" s="224"/>
      <c r="W110" s="224"/>
      <c r="X110" s="224"/>
      <c r="Y110" s="224"/>
      <c r="Z110" s="224"/>
      <c r="AA110" s="224"/>
      <c r="AB110" s="224"/>
      <c r="AC110" s="224"/>
      <c r="AD110" s="224"/>
      <c r="AE110" s="224"/>
      <c r="AF110" s="224"/>
      <c r="AG110" s="224"/>
      <c r="AH110" s="224"/>
      <c r="AI110" s="224"/>
      <c r="AJ110" s="224"/>
      <c r="AK110" s="113"/>
      <c r="AL110" s="113"/>
      <c r="AM110" s="124"/>
      <c r="AN110" s="124"/>
      <c r="AO110" s="34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34"/>
      <c r="BM110" s="34"/>
      <c r="BN110" s="34"/>
      <c r="BO110" s="34"/>
      <c r="BP110" s="34"/>
      <c r="BQ110" s="34"/>
      <c r="BR110" s="34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8"/>
      <c r="CE110" s="8"/>
    </row>
    <row r="111" spans="1:83" ht="18" customHeight="1">
      <c r="A111" s="34"/>
      <c r="B111" s="102"/>
      <c r="C111" s="124"/>
      <c r="D111" s="124"/>
      <c r="E111" s="126"/>
      <c r="F111" s="155"/>
      <c r="G111" s="155"/>
      <c r="H111" s="155"/>
      <c r="I111" s="155"/>
      <c r="J111" s="155"/>
      <c r="K111" s="155"/>
      <c r="L111" s="155"/>
      <c r="M111" s="155"/>
      <c r="N111" s="155"/>
      <c r="O111" s="155"/>
      <c r="P111" s="155"/>
      <c r="Q111" s="155"/>
      <c r="R111" s="155"/>
      <c r="S111" s="155"/>
      <c r="T111" s="155"/>
      <c r="U111" s="155"/>
      <c r="V111" s="155"/>
      <c r="W111" s="155"/>
      <c r="X111" s="155"/>
      <c r="Y111" s="155"/>
      <c r="Z111" s="155"/>
      <c r="AA111" s="155"/>
      <c r="AB111" s="155"/>
      <c r="AC111" s="155"/>
      <c r="AD111" s="155"/>
      <c r="AE111" s="155"/>
      <c r="AF111" s="155"/>
      <c r="AG111" s="155"/>
      <c r="AH111" s="155"/>
      <c r="AI111" s="155"/>
      <c r="AJ111" s="155"/>
      <c r="AK111" s="113"/>
      <c r="AL111" s="113"/>
      <c r="AM111" s="124"/>
      <c r="AN111" s="124"/>
      <c r="AO111" s="34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34"/>
      <c r="BM111" s="34"/>
      <c r="BN111" s="34"/>
      <c r="BO111" s="34"/>
      <c r="BP111" s="34"/>
      <c r="BQ111" s="34"/>
      <c r="BR111" s="34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8"/>
      <c r="CE111" s="8"/>
    </row>
    <row r="112" spans="1:83" ht="18" customHeight="1">
      <c r="A112" s="34"/>
      <c r="B112" s="102"/>
      <c r="C112" s="124"/>
      <c r="D112" s="124"/>
      <c r="E112" s="126"/>
      <c r="F112" s="155"/>
      <c r="G112" s="155"/>
      <c r="H112" s="155"/>
      <c r="I112" s="155"/>
      <c r="J112" s="155"/>
      <c r="K112" s="155"/>
      <c r="L112" s="155"/>
      <c r="M112" s="155"/>
      <c r="N112" s="155"/>
      <c r="O112" s="155"/>
      <c r="P112" s="155"/>
      <c r="Q112" s="155"/>
      <c r="R112" s="155"/>
      <c r="S112" s="155"/>
      <c r="T112" s="155"/>
      <c r="U112" s="155"/>
      <c r="V112" s="155"/>
      <c r="W112" s="155"/>
      <c r="X112" s="155"/>
      <c r="Y112" s="155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13"/>
      <c r="AL112" s="113"/>
      <c r="AM112" s="124"/>
      <c r="AN112" s="124"/>
      <c r="AO112" s="34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34"/>
      <c r="BM112" s="34"/>
      <c r="BN112" s="34"/>
      <c r="BO112" s="34"/>
      <c r="BP112" s="34"/>
      <c r="BQ112" s="34"/>
      <c r="BR112" s="34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8"/>
      <c r="CE112" s="8"/>
    </row>
    <row r="113" spans="1:83" ht="18" customHeight="1">
      <c r="A113" s="34"/>
      <c r="B113" s="102"/>
      <c r="C113" s="124"/>
      <c r="D113" s="124"/>
      <c r="E113" s="126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5"/>
      <c r="AC113" s="155"/>
      <c r="AD113" s="155"/>
      <c r="AE113" s="155"/>
      <c r="AF113" s="155"/>
      <c r="AG113" s="155"/>
      <c r="AH113" s="155"/>
      <c r="AI113" s="155"/>
      <c r="AJ113" s="155"/>
      <c r="AK113" s="113"/>
      <c r="AL113" s="113"/>
      <c r="AM113" s="124"/>
      <c r="AN113" s="124"/>
      <c r="AO113" s="34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34"/>
      <c r="BM113" s="34"/>
      <c r="BN113" s="34"/>
      <c r="BO113" s="34"/>
      <c r="BP113" s="34"/>
      <c r="BQ113" s="34"/>
      <c r="BR113" s="34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8"/>
      <c r="CE113" s="8"/>
    </row>
    <row r="114" spans="1:83" ht="18" customHeight="1">
      <c r="A114" s="34"/>
      <c r="B114" s="102"/>
      <c r="C114" s="124"/>
      <c r="D114" s="124"/>
      <c r="E114" s="126"/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13"/>
      <c r="AD114" s="113"/>
      <c r="AE114" s="113" t="s">
        <v>15</v>
      </c>
      <c r="AF114" s="113"/>
      <c r="AG114" s="113"/>
      <c r="AH114" s="113"/>
      <c r="AI114" s="113"/>
      <c r="AJ114" s="113"/>
      <c r="AK114" s="113"/>
      <c r="AL114" s="113"/>
      <c r="AM114" s="124"/>
      <c r="AN114" s="124"/>
      <c r="AO114" s="34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34"/>
      <c r="BM114" s="34"/>
      <c r="BN114" s="34"/>
      <c r="BO114" s="34"/>
      <c r="BP114" s="34"/>
      <c r="BQ114" s="34"/>
      <c r="BR114" s="34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8"/>
      <c r="CE114" s="8"/>
    </row>
    <row r="115" spans="1:83" ht="15" customHeight="1">
      <c r="A115" s="34"/>
      <c r="B115" s="102"/>
      <c r="C115" s="102"/>
      <c r="D115" s="102"/>
      <c r="E115" s="147"/>
      <c r="F115" s="102"/>
      <c r="G115" s="102"/>
      <c r="H115" s="102"/>
      <c r="I115" s="102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  <c r="AA115" s="102"/>
      <c r="AB115" s="102"/>
      <c r="AC115" s="127"/>
      <c r="AD115" s="127"/>
      <c r="AE115" s="223"/>
      <c r="AF115" s="223"/>
      <c r="AG115" s="223"/>
      <c r="AH115" s="223"/>
      <c r="AI115" s="223"/>
      <c r="AJ115" s="223"/>
      <c r="AK115" s="113"/>
      <c r="AL115" s="100"/>
      <c r="AM115" s="102"/>
      <c r="AN115" s="102"/>
      <c r="AO115" s="34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34"/>
      <c r="BM115" s="34"/>
      <c r="BN115" s="34"/>
      <c r="BO115" s="34"/>
      <c r="BP115" s="34"/>
      <c r="BQ115" s="34"/>
      <c r="BR115" s="34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8"/>
      <c r="CE115" s="8"/>
    </row>
    <row r="116" spans="1:83" ht="15.75">
      <c r="A116" s="34"/>
      <c r="B116" s="102"/>
      <c r="C116" s="102"/>
      <c r="D116" s="102"/>
      <c r="E116" s="102"/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34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33"/>
      <c r="BM116" s="33"/>
      <c r="BN116" s="33"/>
      <c r="BO116" s="33"/>
      <c r="BP116" s="33"/>
      <c r="BQ116" s="33"/>
      <c r="BR116" s="33"/>
      <c r="BS116" s="7"/>
      <c r="BT116" s="7"/>
      <c r="BU116" s="7"/>
      <c r="BV116" s="7"/>
      <c r="BW116" s="7"/>
      <c r="BX116" s="7"/>
      <c r="BY116" s="7"/>
      <c r="BZ116" s="7"/>
      <c r="CA116" s="8"/>
      <c r="CB116" s="8"/>
      <c r="CC116" s="8"/>
      <c r="CD116" s="8"/>
      <c r="CE116" s="8"/>
    </row>
    <row r="117" spans="1:83" ht="10.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33"/>
      <c r="BM117" s="33"/>
      <c r="BN117" s="33"/>
      <c r="BO117" s="33"/>
      <c r="BP117" s="33"/>
      <c r="BQ117" s="33"/>
      <c r="BR117" s="33"/>
      <c r="BS117" s="7"/>
      <c r="BT117" s="7"/>
      <c r="BU117" s="7"/>
      <c r="BV117" s="7"/>
      <c r="BW117" s="7"/>
      <c r="BX117" s="7"/>
      <c r="BY117" s="7"/>
      <c r="BZ117" s="7"/>
    </row>
    <row r="118" spans="1:83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33"/>
      <c r="BM118" s="33"/>
      <c r="BN118" s="33"/>
      <c r="BO118" s="33"/>
      <c r="BP118" s="33"/>
      <c r="BQ118" s="33"/>
      <c r="BR118" s="33"/>
      <c r="BS118" s="7"/>
      <c r="BT118" s="7"/>
      <c r="BU118" s="7"/>
      <c r="BV118" s="7"/>
      <c r="BW118" s="7"/>
      <c r="BX118" s="7"/>
      <c r="BY118" s="7"/>
      <c r="BZ118" s="7"/>
    </row>
    <row r="119" spans="1:83" ht="1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33"/>
      <c r="BM119" s="33"/>
      <c r="BN119" s="33"/>
      <c r="BO119" s="33"/>
      <c r="BP119" s="33"/>
      <c r="BQ119" s="33"/>
      <c r="BR119" s="33"/>
      <c r="BS119" s="7"/>
      <c r="BT119" s="7"/>
      <c r="BU119" s="7"/>
      <c r="BV119" s="7"/>
      <c r="BW119" s="7"/>
      <c r="BX119" s="7"/>
      <c r="BY119" s="7"/>
      <c r="BZ119" s="7"/>
    </row>
    <row r="120" spans="1:83" ht="19.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33"/>
      <c r="BM120" s="33"/>
      <c r="BN120" s="33"/>
      <c r="BO120" s="33"/>
      <c r="BP120" s="33"/>
      <c r="BQ120" s="33"/>
      <c r="BR120" s="33"/>
      <c r="BS120" s="7"/>
      <c r="BT120" s="7"/>
      <c r="BU120" s="7"/>
      <c r="BV120" s="7"/>
      <c r="BW120" s="7"/>
      <c r="BX120" s="7"/>
      <c r="BY120" s="7"/>
      <c r="BZ120" s="7"/>
    </row>
    <row r="121" spans="1:83" ht="16.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33"/>
      <c r="BM121" s="33"/>
      <c r="BN121" s="33"/>
      <c r="BO121" s="33"/>
      <c r="BP121" s="33"/>
      <c r="BQ121" s="33"/>
      <c r="BR121" s="33"/>
      <c r="BS121" s="7"/>
      <c r="BT121" s="7"/>
      <c r="BU121" s="7"/>
      <c r="BV121" s="7"/>
      <c r="BW121" s="7"/>
      <c r="BX121" s="7"/>
      <c r="BY121" s="7"/>
      <c r="BZ121" s="7"/>
    </row>
    <row r="122" spans="1:83" ht="10.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33"/>
      <c r="BM122" s="33"/>
      <c r="BN122" s="33"/>
      <c r="BO122" s="33"/>
      <c r="BP122" s="33"/>
      <c r="BQ122" s="33"/>
      <c r="BR122" s="33"/>
      <c r="BS122" s="7"/>
      <c r="BT122" s="7"/>
      <c r="BU122" s="7"/>
      <c r="BV122" s="7"/>
      <c r="BW122" s="7"/>
      <c r="BX122" s="7"/>
      <c r="BY122" s="7"/>
      <c r="BZ122" s="7"/>
    </row>
    <row r="123" spans="1:83" ht="1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7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33"/>
      <c r="BM123" s="33"/>
      <c r="BN123" s="33"/>
      <c r="BO123" s="33"/>
      <c r="BP123" s="33"/>
      <c r="BQ123" s="33"/>
      <c r="BR123" s="33"/>
      <c r="BS123" s="7"/>
      <c r="BT123" s="7"/>
      <c r="BU123" s="7"/>
      <c r="BV123" s="7"/>
      <c r="BW123" s="7"/>
      <c r="BX123" s="7"/>
      <c r="BY123" s="7"/>
      <c r="BZ123" s="7"/>
    </row>
    <row r="124" spans="1:83" ht="1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7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33"/>
      <c r="BM124" s="33"/>
      <c r="BN124" s="33"/>
      <c r="BO124" s="33"/>
      <c r="BP124" s="33"/>
      <c r="BQ124" s="33"/>
      <c r="BR124" s="33"/>
      <c r="BS124" s="7"/>
      <c r="BT124" s="7"/>
      <c r="BU124" s="7"/>
      <c r="BV124" s="7"/>
      <c r="BW124" s="7"/>
      <c r="BX124" s="7"/>
      <c r="BY124" s="7"/>
      <c r="BZ124" s="7"/>
    </row>
    <row r="125" spans="1:83" ht="18.7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7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33"/>
      <c r="BM125" s="33"/>
      <c r="BN125" s="33"/>
      <c r="BO125" s="33"/>
      <c r="BP125" s="33"/>
      <c r="BQ125" s="33"/>
      <c r="BR125" s="33"/>
      <c r="BS125" s="7"/>
      <c r="BT125" s="7"/>
      <c r="BU125" s="7"/>
      <c r="BV125" s="7"/>
      <c r="BW125" s="7"/>
      <c r="BX125" s="7"/>
      <c r="BY125" s="7"/>
      <c r="BZ125" s="7"/>
    </row>
    <row r="126" spans="1:83" ht="21">
      <c r="A126" s="249"/>
      <c r="B126" s="249"/>
      <c r="C126" s="249"/>
      <c r="D126" s="249"/>
      <c r="E126" s="249"/>
      <c r="F126" s="249"/>
      <c r="G126" s="249"/>
      <c r="H126" s="249"/>
      <c r="I126" s="249"/>
      <c r="J126" s="249"/>
      <c r="K126" s="249"/>
      <c r="L126" s="249"/>
      <c r="M126" s="249"/>
      <c r="N126" s="249"/>
      <c r="O126" s="249"/>
      <c r="P126" s="249"/>
      <c r="Q126" s="249"/>
      <c r="R126" s="249"/>
      <c r="S126" s="249"/>
      <c r="T126" s="249"/>
      <c r="U126" s="249"/>
      <c r="V126" s="249"/>
      <c r="W126" s="249"/>
      <c r="X126" s="249"/>
      <c r="Y126" s="249"/>
      <c r="Z126" s="249"/>
      <c r="AA126" s="249"/>
      <c r="AB126" s="249"/>
      <c r="AC126" s="249"/>
      <c r="AD126" s="249"/>
      <c r="AE126" s="249"/>
      <c r="AF126" s="249"/>
      <c r="AG126" s="249"/>
      <c r="AH126" s="249"/>
      <c r="AI126" s="249"/>
      <c r="AJ126" s="249"/>
      <c r="AK126" s="249"/>
      <c r="AL126" s="249"/>
      <c r="AM126" s="249"/>
      <c r="AN126" s="249"/>
      <c r="AO126" s="249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33"/>
      <c r="BM126" s="33"/>
      <c r="BN126" s="33"/>
      <c r="BO126" s="33"/>
      <c r="BP126" s="33"/>
      <c r="BQ126" s="33"/>
      <c r="BR126" s="33"/>
      <c r="BS126" s="7"/>
      <c r="BT126" s="7"/>
      <c r="BU126" s="7"/>
      <c r="BV126" s="7"/>
      <c r="BW126" s="7"/>
      <c r="BX126" s="7"/>
      <c r="BY126" s="7"/>
      <c r="BZ126" s="7"/>
    </row>
    <row r="127" spans="1:83" ht="15" customHeight="1">
      <c r="A127" s="248"/>
      <c r="B127" s="249"/>
      <c r="C127" s="249"/>
      <c r="D127" s="249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49"/>
      <c r="AC127" s="249"/>
      <c r="AD127" s="249"/>
      <c r="AE127" s="249"/>
      <c r="AF127" s="249"/>
      <c r="AG127" s="249"/>
      <c r="AH127" s="249"/>
      <c r="AI127" s="249"/>
      <c r="AJ127" s="249"/>
      <c r="AK127" s="249"/>
      <c r="AL127" s="249"/>
      <c r="AM127" s="249"/>
      <c r="AN127" s="249"/>
      <c r="AO127" s="249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33"/>
      <c r="BM127" s="33"/>
      <c r="BN127" s="33"/>
      <c r="BO127" s="33"/>
      <c r="BP127" s="33"/>
      <c r="BQ127" s="33"/>
      <c r="BR127" s="33"/>
      <c r="BS127" s="7"/>
      <c r="BT127" s="7"/>
      <c r="BU127" s="7"/>
      <c r="BV127" s="7"/>
      <c r="BW127" s="7"/>
      <c r="BX127" s="7"/>
      <c r="BY127" s="7"/>
      <c r="BZ127" s="7"/>
    </row>
    <row r="128" spans="1:83" ht="15" customHeight="1">
      <c r="A128" s="34"/>
      <c r="B128" s="34"/>
      <c r="C128" s="34"/>
      <c r="D128" s="34"/>
      <c r="E128" s="34"/>
      <c r="F128" s="78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34"/>
      <c r="AM128" s="34"/>
      <c r="AN128" s="34"/>
      <c r="AO128" s="34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33"/>
      <c r="BM128" s="33"/>
      <c r="BN128" s="33"/>
      <c r="BO128" s="33"/>
      <c r="BP128" s="33"/>
      <c r="BQ128" s="33"/>
      <c r="BR128" s="33"/>
      <c r="BS128" s="7"/>
      <c r="BT128" s="7"/>
      <c r="BU128" s="7"/>
      <c r="BV128" s="7"/>
      <c r="BW128" s="7"/>
      <c r="BX128" s="7"/>
      <c r="BY128" s="7"/>
      <c r="BZ128" s="7"/>
    </row>
    <row r="129" spans="1:78" ht="15" customHeight="1">
      <c r="A129" s="34"/>
      <c r="B129" s="34"/>
      <c r="C129" s="34"/>
      <c r="D129" s="34"/>
      <c r="E129" s="34"/>
      <c r="F129" s="80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79"/>
      <c r="AD129" s="79"/>
      <c r="AE129" s="79"/>
      <c r="AF129" s="79"/>
      <c r="AG129" s="79"/>
      <c r="AH129" s="79"/>
      <c r="AI129" s="79"/>
      <c r="AJ129" s="79"/>
      <c r="AK129" s="79"/>
      <c r="AL129" s="34"/>
      <c r="AM129" s="34"/>
      <c r="AN129" s="34"/>
      <c r="AO129" s="34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33"/>
      <c r="BM129" s="33"/>
      <c r="BN129" s="33"/>
      <c r="BO129" s="33"/>
      <c r="BP129" s="33"/>
      <c r="BQ129" s="33"/>
      <c r="BR129" s="33"/>
      <c r="BS129" s="7"/>
      <c r="BT129" s="7"/>
      <c r="BU129" s="7"/>
      <c r="BV129" s="7"/>
      <c r="BW129" s="7"/>
      <c r="BX129" s="7"/>
      <c r="BY129" s="7"/>
      <c r="BZ129" s="7"/>
    </row>
    <row r="130" spans="1:78" ht="21" customHeight="1">
      <c r="A130" s="34"/>
      <c r="B130" s="34"/>
      <c r="C130" s="34"/>
      <c r="D130" s="34"/>
      <c r="E130" s="34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79"/>
      <c r="AD130" s="79"/>
      <c r="AE130" s="79"/>
      <c r="AF130" s="79"/>
      <c r="AG130" s="79"/>
      <c r="AH130" s="79"/>
      <c r="AI130" s="79"/>
      <c r="AJ130" s="79"/>
      <c r="AK130" s="79"/>
      <c r="AL130" s="34"/>
      <c r="AM130" s="34"/>
      <c r="AN130" s="34"/>
      <c r="AO130" s="34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33"/>
      <c r="BM130" s="33"/>
      <c r="BN130" s="33"/>
      <c r="BO130" s="33"/>
      <c r="BP130" s="33"/>
      <c r="BQ130" s="33"/>
      <c r="BR130" s="33"/>
      <c r="BS130" s="7"/>
      <c r="BT130" s="7"/>
      <c r="BU130" s="7"/>
      <c r="BV130" s="7"/>
      <c r="BW130" s="7"/>
      <c r="BX130" s="7"/>
      <c r="BY130" s="7"/>
      <c r="BZ130" s="7"/>
    </row>
    <row r="131" spans="1:78" ht="18" customHeight="1">
      <c r="A131" s="34"/>
      <c r="B131" s="34"/>
      <c r="C131" s="34"/>
      <c r="D131" s="34"/>
      <c r="E131" s="34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  <c r="AD131" s="81"/>
      <c r="AE131" s="81"/>
      <c r="AF131" s="81"/>
      <c r="AG131" s="81"/>
      <c r="AH131" s="81"/>
      <c r="AI131" s="81"/>
      <c r="AJ131" s="81"/>
      <c r="AK131" s="81"/>
      <c r="AL131" s="34"/>
      <c r="AM131" s="34"/>
      <c r="AN131" s="34"/>
      <c r="AO131" s="34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33"/>
      <c r="BM131" s="33"/>
      <c r="BN131" s="33"/>
      <c r="BO131" s="33"/>
      <c r="BP131" s="33"/>
      <c r="BQ131" s="33"/>
      <c r="BR131" s="33"/>
      <c r="BS131" s="7"/>
      <c r="BT131" s="7"/>
      <c r="BU131" s="7"/>
      <c r="BV131" s="7"/>
      <c r="BW131" s="7"/>
      <c r="BX131" s="7"/>
      <c r="BY131" s="7"/>
      <c r="BZ131" s="7"/>
    </row>
    <row r="132" spans="1:78" ht="15" customHeight="1">
      <c r="A132" s="34"/>
      <c r="B132" s="34"/>
      <c r="C132" s="34"/>
      <c r="D132" s="34"/>
      <c r="E132" s="34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E132" s="81"/>
      <c r="AF132" s="81"/>
      <c r="AG132" s="81"/>
      <c r="AH132" s="81"/>
      <c r="AI132" s="81"/>
      <c r="AJ132" s="81"/>
      <c r="AK132" s="81"/>
      <c r="AL132" s="34"/>
      <c r="AM132" s="34"/>
      <c r="AN132" s="34"/>
      <c r="AO132" s="34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33"/>
      <c r="BM132" s="33"/>
      <c r="BN132" s="33"/>
      <c r="BO132" s="33"/>
      <c r="BP132" s="33"/>
      <c r="BQ132" s="33"/>
      <c r="BR132" s="33"/>
      <c r="BS132" s="7"/>
      <c r="BT132" s="7"/>
      <c r="BU132" s="7"/>
      <c r="BV132" s="7"/>
      <c r="BW132" s="7"/>
      <c r="BX132" s="7"/>
      <c r="BY132" s="7"/>
      <c r="BZ132" s="7"/>
    </row>
    <row r="133" spans="1:78" ht="15" customHeight="1">
      <c r="A133" s="24"/>
      <c r="B133" s="24"/>
      <c r="C133" s="24"/>
      <c r="D133" s="24"/>
      <c r="E133" s="24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4"/>
      <c r="AM133" s="24"/>
      <c r="AN133" s="24"/>
      <c r="AO133" s="24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33"/>
      <c r="BM133" s="33"/>
      <c r="BN133" s="33"/>
      <c r="BO133" s="33"/>
      <c r="BP133" s="33"/>
      <c r="BQ133" s="33"/>
      <c r="BR133" s="33"/>
      <c r="BS133" s="7"/>
      <c r="BT133" s="7"/>
      <c r="BU133" s="7"/>
      <c r="BV133" s="7"/>
      <c r="BW133" s="7"/>
      <c r="BX133" s="7"/>
      <c r="BY133" s="7"/>
      <c r="BZ133" s="7"/>
    </row>
    <row r="134" spans="1:78" ht="15" customHeight="1">
      <c r="A134" s="24"/>
      <c r="B134" s="24"/>
      <c r="C134" s="24"/>
      <c r="D134" s="24"/>
      <c r="E134" s="24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4"/>
      <c r="AM134" s="24"/>
      <c r="AN134" s="24"/>
      <c r="AO134" s="24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33"/>
      <c r="BM134" s="33"/>
      <c r="BN134" s="33"/>
      <c r="BO134" s="33"/>
      <c r="BP134" s="33"/>
      <c r="BQ134" s="33"/>
      <c r="BR134" s="33"/>
      <c r="BS134" s="7"/>
      <c r="BT134" s="7"/>
      <c r="BU134" s="7"/>
      <c r="BV134" s="7"/>
      <c r="BW134" s="7"/>
      <c r="BX134" s="7"/>
      <c r="BY134" s="7"/>
      <c r="BZ134" s="7"/>
    </row>
    <row r="135" spans="1:78" ht="15" customHeight="1">
      <c r="A135" s="24"/>
      <c r="B135" s="24"/>
      <c r="C135" s="24"/>
      <c r="D135" s="24"/>
      <c r="E135" s="24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4"/>
      <c r="AM135" s="24"/>
      <c r="AN135" s="24"/>
      <c r="AO135" s="24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33"/>
      <c r="BM135" s="33"/>
      <c r="BN135" s="33"/>
      <c r="BO135" s="33"/>
      <c r="BP135" s="33"/>
      <c r="BQ135" s="33"/>
      <c r="BR135" s="33"/>
      <c r="BS135" s="7"/>
      <c r="BT135" s="7"/>
      <c r="BU135" s="7"/>
      <c r="BV135" s="7"/>
      <c r="BW135" s="7"/>
      <c r="BX135" s="7"/>
      <c r="BY135" s="7"/>
      <c r="BZ135" s="7"/>
    </row>
    <row r="136" spans="1:78" ht="15" customHeight="1">
      <c r="A136" s="24"/>
      <c r="B136" s="24"/>
      <c r="C136" s="24"/>
      <c r="D136" s="24"/>
      <c r="E136" s="24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4"/>
      <c r="AM136" s="24"/>
      <c r="AN136" s="24"/>
      <c r="AO136" s="24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33"/>
      <c r="BM136" s="33"/>
      <c r="BN136" s="33"/>
      <c r="BO136" s="33"/>
      <c r="BP136" s="33"/>
      <c r="BQ136" s="33"/>
      <c r="BR136" s="33"/>
      <c r="BS136" s="7"/>
      <c r="BT136" s="7"/>
      <c r="BU136" s="7"/>
      <c r="BV136" s="7"/>
      <c r="BW136" s="7"/>
      <c r="BX136" s="7"/>
      <c r="BY136" s="7"/>
      <c r="BZ136" s="7"/>
    </row>
    <row r="137" spans="1:78" ht="15" customHeight="1">
      <c r="A137" s="24"/>
      <c r="B137" s="24"/>
      <c r="C137" s="24"/>
      <c r="D137" s="24"/>
      <c r="E137" s="24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4"/>
      <c r="AM137" s="24"/>
      <c r="AN137" s="24"/>
      <c r="AO137" s="24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33"/>
      <c r="BM137" s="33"/>
      <c r="BN137" s="33"/>
      <c r="BO137" s="33"/>
      <c r="BP137" s="33"/>
      <c r="BQ137" s="33"/>
      <c r="BR137" s="33"/>
      <c r="BS137" s="7"/>
      <c r="BT137" s="7"/>
      <c r="BU137" s="7"/>
      <c r="BV137" s="7"/>
      <c r="BW137" s="7"/>
      <c r="BX137" s="7"/>
      <c r="BY137" s="7"/>
      <c r="BZ137" s="7"/>
    </row>
    <row r="138" spans="1:78" ht="15" customHeight="1">
      <c r="A138" s="24"/>
      <c r="B138" s="24"/>
      <c r="C138" s="24"/>
      <c r="D138" s="24"/>
      <c r="E138" s="24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4"/>
      <c r="AM138" s="24"/>
      <c r="AN138" s="24"/>
      <c r="AO138" s="24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33"/>
      <c r="BM138" s="33"/>
      <c r="BN138" s="33"/>
      <c r="BO138" s="33"/>
      <c r="BP138" s="33"/>
      <c r="BQ138" s="33"/>
      <c r="BR138" s="33"/>
      <c r="BS138" s="7"/>
      <c r="BT138" s="7"/>
      <c r="BU138" s="7"/>
      <c r="BV138" s="7"/>
      <c r="BW138" s="7"/>
      <c r="BX138" s="7"/>
      <c r="BY138" s="7"/>
      <c r="BZ138" s="7"/>
    </row>
    <row r="139" spans="1:78" ht="15" customHeight="1">
      <c r="A139" s="24"/>
      <c r="B139" s="24"/>
      <c r="C139" s="24"/>
      <c r="D139" s="24"/>
      <c r="E139" s="24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4"/>
      <c r="AM139" s="24"/>
      <c r="AN139" s="24"/>
      <c r="AO139" s="24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33"/>
      <c r="BM139" s="33"/>
      <c r="BN139" s="33"/>
      <c r="BO139" s="33"/>
      <c r="BP139" s="33"/>
      <c r="BQ139" s="33"/>
      <c r="BR139" s="33"/>
      <c r="BS139" s="7"/>
      <c r="BT139" s="7"/>
      <c r="BU139" s="7"/>
      <c r="BV139" s="7"/>
      <c r="BW139" s="7"/>
      <c r="BX139" s="7"/>
      <c r="BY139" s="7"/>
      <c r="BZ139" s="7"/>
    </row>
    <row r="140" spans="1:78" ht="15" customHeight="1">
      <c r="A140" s="24"/>
      <c r="B140" s="24"/>
      <c r="C140" s="24"/>
      <c r="D140" s="24"/>
      <c r="E140" s="24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4"/>
      <c r="AM140" s="24"/>
      <c r="AN140" s="24"/>
      <c r="AO140" s="24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33"/>
      <c r="BM140" s="33"/>
      <c r="BN140" s="33"/>
      <c r="BO140" s="33"/>
      <c r="BP140" s="33"/>
      <c r="BQ140" s="33"/>
      <c r="BR140" s="33"/>
      <c r="BS140" s="7"/>
      <c r="BT140" s="7"/>
      <c r="BU140" s="7"/>
      <c r="BV140" s="7"/>
      <c r="BW140" s="7"/>
      <c r="BX140" s="7"/>
      <c r="BY140" s="7"/>
      <c r="BZ140" s="7"/>
    </row>
    <row r="141" spans="1:78" ht="15" customHeight="1">
      <c r="A141" s="24"/>
      <c r="B141" s="24"/>
      <c r="C141" s="24"/>
      <c r="D141" s="24"/>
      <c r="E141" s="24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4"/>
      <c r="AM141" s="24"/>
      <c r="AN141" s="24"/>
      <c r="AO141" s="24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33"/>
      <c r="BM141" s="33"/>
      <c r="BN141" s="33"/>
      <c r="BO141" s="33"/>
      <c r="BP141" s="33"/>
      <c r="BQ141" s="33"/>
      <c r="BR141" s="33"/>
      <c r="BS141" s="7"/>
      <c r="BT141" s="7"/>
      <c r="BU141" s="7"/>
      <c r="BV141" s="7"/>
      <c r="BW141" s="7"/>
      <c r="BX141" s="7"/>
      <c r="BY141" s="7"/>
      <c r="BZ141" s="7"/>
    </row>
    <row r="142" spans="1:78" ht="15" customHeight="1">
      <c r="A142" s="24"/>
      <c r="B142" s="24"/>
      <c r="C142" s="24"/>
      <c r="D142" s="24"/>
      <c r="E142" s="24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4"/>
      <c r="AM142" s="24"/>
      <c r="AN142" s="24"/>
      <c r="AO142" s="24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33"/>
      <c r="BM142" s="33"/>
      <c r="BN142" s="33"/>
      <c r="BO142" s="33"/>
      <c r="BP142" s="33"/>
      <c r="BQ142" s="33"/>
      <c r="BR142" s="33"/>
      <c r="BS142" s="7"/>
      <c r="BT142" s="7"/>
      <c r="BU142" s="7"/>
      <c r="BV142" s="7"/>
      <c r="BW142" s="7"/>
      <c r="BX142" s="7"/>
      <c r="BY142" s="7"/>
      <c r="BZ142" s="7"/>
    </row>
    <row r="143" spans="1:78" ht="15" customHeight="1">
      <c r="A143" s="24"/>
      <c r="B143" s="24"/>
      <c r="C143" s="24"/>
      <c r="D143" s="24"/>
      <c r="E143" s="24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4"/>
      <c r="AM143" s="24"/>
      <c r="AN143" s="24"/>
      <c r="AO143" s="24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33"/>
      <c r="BM143" s="33"/>
      <c r="BN143" s="33"/>
      <c r="BO143" s="33"/>
      <c r="BP143" s="33"/>
      <c r="BQ143" s="33"/>
      <c r="BR143" s="33"/>
      <c r="BS143" s="7"/>
      <c r="BT143" s="7"/>
      <c r="BU143" s="7"/>
      <c r="BV143" s="7"/>
      <c r="BW143" s="7"/>
      <c r="BX143" s="7"/>
      <c r="BY143" s="7"/>
      <c r="BZ143" s="7"/>
    </row>
    <row r="144" spans="1:78" ht="15" customHeight="1">
      <c r="A144" s="24"/>
      <c r="B144" s="24"/>
      <c r="C144" s="24"/>
      <c r="D144" s="24"/>
      <c r="E144" s="24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4"/>
      <c r="AM144" s="24"/>
      <c r="AN144" s="24"/>
      <c r="AO144" s="24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33"/>
      <c r="BM144" s="33"/>
      <c r="BN144" s="33"/>
      <c r="BO144" s="33"/>
      <c r="BP144" s="33"/>
      <c r="BQ144" s="33"/>
      <c r="BR144" s="33"/>
      <c r="BS144" s="7"/>
      <c r="BT144" s="7"/>
      <c r="BU144" s="7"/>
      <c r="BV144" s="7"/>
      <c r="BW144" s="7"/>
      <c r="BX144" s="7"/>
      <c r="BY144" s="7"/>
      <c r="BZ144" s="7"/>
    </row>
    <row r="145" spans="1:95" ht="15" customHeight="1">
      <c r="A145" s="24"/>
      <c r="B145" s="24"/>
      <c r="C145" s="24"/>
      <c r="D145" s="24"/>
      <c r="E145" s="24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4"/>
      <c r="AM145" s="24"/>
      <c r="AN145" s="24"/>
      <c r="AO145" s="24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33"/>
      <c r="BM145" s="33"/>
      <c r="BN145" s="33"/>
      <c r="BO145" s="33"/>
      <c r="BP145" s="33"/>
      <c r="BQ145" s="33"/>
      <c r="BR145" s="33"/>
      <c r="BS145" s="7"/>
      <c r="BT145" s="7"/>
      <c r="BU145" s="7"/>
      <c r="BV145" s="7"/>
      <c r="BW145" s="7"/>
      <c r="BX145" s="7"/>
      <c r="BY145" s="7"/>
      <c r="BZ145" s="7"/>
    </row>
    <row r="146" spans="1:95" ht="15" customHeight="1">
      <c r="A146" s="24"/>
      <c r="B146" s="24"/>
      <c r="C146" s="24"/>
      <c r="D146" s="24"/>
      <c r="E146" s="24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4"/>
      <c r="AM146" s="24"/>
      <c r="AN146" s="24"/>
      <c r="AO146" s="24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33"/>
      <c r="BM146" s="33"/>
      <c r="BN146" s="33"/>
      <c r="BO146" s="33"/>
      <c r="BP146" s="33"/>
      <c r="BQ146" s="33"/>
      <c r="BR146" s="33"/>
      <c r="BS146" s="7"/>
      <c r="BT146" s="7"/>
      <c r="BU146" s="7"/>
      <c r="BV146" s="7"/>
      <c r="BW146" s="7"/>
      <c r="BX146" s="7"/>
      <c r="BY146" s="7"/>
      <c r="BZ146" s="7"/>
    </row>
    <row r="147" spans="1:95" ht="15" customHeight="1">
      <c r="A147" s="24"/>
      <c r="B147" s="24"/>
      <c r="C147" s="24"/>
      <c r="D147" s="24"/>
      <c r="E147" s="24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4"/>
      <c r="AM147" s="24"/>
      <c r="AN147" s="24"/>
      <c r="AO147" s="24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33"/>
      <c r="BM147" s="33"/>
      <c r="BN147" s="33"/>
      <c r="BO147" s="33"/>
      <c r="BP147" s="33"/>
      <c r="BQ147" s="33"/>
      <c r="BR147" s="33"/>
      <c r="BS147" s="7"/>
      <c r="BT147" s="7"/>
      <c r="BU147" s="7"/>
      <c r="BV147" s="7"/>
      <c r="BW147" s="7"/>
      <c r="BX147" s="7"/>
      <c r="BY147" s="7"/>
      <c r="BZ147" s="7"/>
      <c r="CO147" s="8"/>
      <c r="CP147" s="8"/>
      <c r="CQ147" s="8"/>
    </row>
    <row r="148" spans="1:95" ht="15" customHeight="1">
      <c r="A148" s="24"/>
      <c r="B148" s="24"/>
      <c r="C148" s="24"/>
      <c r="D148" s="24"/>
      <c r="E148" s="24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4"/>
      <c r="AM148" s="24"/>
      <c r="AN148" s="24"/>
      <c r="AO148" s="24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33"/>
      <c r="BM148" s="33"/>
      <c r="BN148" s="33"/>
      <c r="BO148" s="33"/>
      <c r="BP148" s="33"/>
      <c r="BQ148" s="33"/>
      <c r="BR148" s="33"/>
      <c r="BS148" s="7"/>
      <c r="BT148" s="7"/>
      <c r="BU148" s="7"/>
      <c r="BV148" s="7"/>
      <c r="BW148" s="7"/>
      <c r="BX148" s="7"/>
      <c r="BY148" s="7"/>
      <c r="BZ148" s="7"/>
    </row>
    <row r="149" spans="1:95" ht="15" customHeight="1">
      <c r="A149" s="24"/>
      <c r="B149" s="24"/>
      <c r="C149" s="24"/>
      <c r="D149" s="24"/>
      <c r="E149" s="24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4"/>
      <c r="AM149" s="24"/>
      <c r="AN149" s="24"/>
      <c r="AO149" s="24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33"/>
      <c r="BM149" s="33"/>
      <c r="BN149" s="33"/>
      <c r="BO149" s="33"/>
      <c r="BP149" s="33"/>
      <c r="BQ149" s="33"/>
      <c r="BR149" s="33"/>
      <c r="BS149" s="7"/>
      <c r="BT149" s="7"/>
      <c r="BU149" s="7"/>
      <c r="BV149" s="7"/>
      <c r="BW149" s="7"/>
      <c r="BX149" s="7"/>
      <c r="BY149" s="7"/>
      <c r="BZ149" s="7"/>
    </row>
    <row r="150" spans="1:95" ht="15" customHeight="1">
      <c r="A150" s="24"/>
      <c r="B150" s="24"/>
      <c r="C150" s="24"/>
      <c r="D150" s="24"/>
      <c r="E150" s="24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4"/>
      <c r="AM150" s="24"/>
      <c r="AN150" s="24"/>
      <c r="AO150" s="24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33"/>
      <c r="BM150" s="33"/>
      <c r="BN150" s="33"/>
      <c r="BO150" s="33"/>
      <c r="BP150" s="33"/>
      <c r="BQ150" s="33"/>
      <c r="BR150" s="33"/>
      <c r="BS150" s="7"/>
      <c r="BT150" s="7"/>
      <c r="BU150" s="7"/>
      <c r="BV150" s="7"/>
      <c r="BW150" s="7"/>
      <c r="BX150" s="7"/>
      <c r="BY150" s="7"/>
      <c r="BZ150" s="7"/>
    </row>
    <row r="151" spans="1:95" ht="15" customHeight="1">
      <c r="A151" s="24"/>
      <c r="B151" s="24"/>
      <c r="C151" s="24"/>
      <c r="D151" s="24"/>
      <c r="E151" s="24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4"/>
      <c r="AM151" s="24"/>
      <c r="AN151" s="24"/>
      <c r="AO151" s="24"/>
      <c r="BL151" s="25"/>
      <c r="BM151" s="25"/>
      <c r="BN151" s="25"/>
      <c r="BO151" s="25"/>
      <c r="BP151" s="25"/>
      <c r="BQ151" s="25"/>
      <c r="BR151" s="25"/>
    </row>
    <row r="152" spans="1:95" ht="15" customHeight="1">
      <c r="A152" s="24"/>
      <c r="B152" s="24"/>
      <c r="C152" s="24"/>
      <c r="D152" s="24"/>
      <c r="E152" s="24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4"/>
      <c r="AM152" s="24"/>
      <c r="AN152" s="24"/>
      <c r="AO152" s="24"/>
      <c r="BL152" s="25"/>
      <c r="BM152" s="25"/>
      <c r="BN152" s="25"/>
      <c r="BO152" s="25"/>
      <c r="BP152" s="25"/>
      <c r="BQ152" s="25"/>
      <c r="BR152" s="25"/>
    </row>
    <row r="153" spans="1:95" ht="15" customHeight="1">
      <c r="A153" s="24"/>
      <c r="B153" s="24"/>
      <c r="C153" s="24"/>
      <c r="D153" s="24"/>
      <c r="E153" s="24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4"/>
      <c r="AM153" s="24"/>
      <c r="AN153" s="24"/>
      <c r="AO153" s="24"/>
      <c r="BL153" s="25"/>
      <c r="BM153" s="25"/>
      <c r="BN153" s="25"/>
      <c r="BO153" s="25"/>
      <c r="BP153" s="25"/>
      <c r="BQ153" s="25"/>
      <c r="BR153" s="25"/>
    </row>
    <row r="154" spans="1:95" ht="15" customHeight="1">
      <c r="A154" s="24"/>
      <c r="B154" s="24"/>
      <c r="C154" s="24"/>
      <c r="D154" s="24"/>
      <c r="E154" s="24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4"/>
      <c r="AM154" s="24"/>
      <c r="AN154" s="24"/>
      <c r="AO154" s="24"/>
      <c r="BL154" s="25"/>
      <c r="BM154" s="25"/>
      <c r="BN154" s="25"/>
      <c r="BO154" s="25"/>
      <c r="BP154" s="25"/>
      <c r="BQ154" s="25"/>
      <c r="BR154" s="25"/>
    </row>
    <row r="155" spans="1:95" ht="15" customHeight="1">
      <c r="A155" s="24"/>
      <c r="B155" s="24"/>
      <c r="C155" s="24"/>
      <c r="D155" s="24"/>
      <c r="E155" s="24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4"/>
      <c r="AM155" s="24"/>
      <c r="AN155" s="24"/>
      <c r="AO155" s="24"/>
      <c r="BL155" s="25"/>
      <c r="BM155" s="25"/>
      <c r="BN155" s="25"/>
      <c r="BO155" s="25"/>
      <c r="BP155" s="25"/>
      <c r="BQ155" s="25"/>
      <c r="BR155" s="25"/>
    </row>
    <row r="156" spans="1:95" ht="15" customHeight="1">
      <c r="A156" s="24"/>
      <c r="B156" s="24"/>
      <c r="C156" s="24"/>
      <c r="D156" s="24"/>
      <c r="E156" s="24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4"/>
      <c r="AM156" s="24"/>
      <c r="AN156" s="24"/>
      <c r="AO156" s="24"/>
      <c r="BL156" s="25"/>
      <c r="BM156" s="25"/>
      <c r="BN156" s="25"/>
      <c r="BO156" s="25"/>
      <c r="BP156" s="25"/>
      <c r="BQ156" s="25"/>
      <c r="BR156" s="25"/>
    </row>
    <row r="157" spans="1:95" ht="15" customHeight="1">
      <c r="A157" s="24"/>
      <c r="B157" s="24"/>
      <c r="C157" s="24"/>
      <c r="D157" s="24"/>
      <c r="E157" s="24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4"/>
      <c r="AM157" s="24"/>
      <c r="AN157" s="24"/>
      <c r="AO157" s="24"/>
      <c r="BL157" s="25"/>
      <c r="BM157" s="25"/>
      <c r="BN157" s="25"/>
      <c r="BO157" s="25"/>
      <c r="BP157" s="25"/>
      <c r="BQ157" s="25"/>
      <c r="BR157" s="25"/>
    </row>
    <row r="158" spans="1:95" ht="15" customHeight="1">
      <c r="A158" s="24"/>
      <c r="B158" s="24"/>
      <c r="C158" s="24"/>
      <c r="D158" s="24"/>
      <c r="E158" s="24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4"/>
      <c r="AM158" s="24"/>
      <c r="AN158" s="24"/>
      <c r="AO158" s="24"/>
      <c r="BL158" s="25"/>
      <c r="BM158" s="25"/>
      <c r="BN158" s="25"/>
      <c r="BO158" s="25"/>
      <c r="BP158" s="25"/>
      <c r="BQ158" s="25"/>
      <c r="BR158" s="25"/>
    </row>
    <row r="159" spans="1:95" ht="15" customHeight="1">
      <c r="A159" s="24"/>
      <c r="B159" s="24"/>
      <c r="C159" s="24"/>
      <c r="D159" s="24"/>
      <c r="E159" s="24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4"/>
      <c r="AM159" s="24"/>
      <c r="AN159" s="24"/>
      <c r="AO159" s="24"/>
      <c r="BL159" s="25"/>
      <c r="BM159" s="25"/>
      <c r="BN159" s="25"/>
      <c r="BO159" s="25"/>
      <c r="BP159" s="25"/>
      <c r="BQ159" s="25"/>
      <c r="BR159" s="25"/>
    </row>
    <row r="160" spans="1:95" ht="15" customHeight="1">
      <c r="A160" s="24"/>
      <c r="B160" s="24"/>
      <c r="C160" s="24"/>
      <c r="D160" s="24"/>
      <c r="E160" s="24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4"/>
      <c r="AM160" s="24"/>
      <c r="AN160" s="24"/>
      <c r="AO160" s="24"/>
      <c r="BL160" s="25"/>
      <c r="BM160" s="25"/>
      <c r="BN160" s="25"/>
      <c r="BO160" s="25"/>
      <c r="BP160" s="25"/>
      <c r="BQ160" s="25"/>
      <c r="BR160" s="25"/>
      <c r="CH160" s="8"/>
      <c r="CI160" s="8"/>
      <c r="CJ160" s="8"/>
    </row>
    <row r="161" spans="1:130" ht="15" customHeight="1">
      <c r="A161" s="24"/>
      <c r="B161" s="24"/>
      <c r="C161" s="24"/>
      <c r="D161" s="24"/>
      <c r="E161" s="24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4"/>
      <c r="AM161" s="24"/>
      <c r="AN161" s="24"/>
      <c r="AO161" s="24"/>
      <c r="BL161" s="25"/>
      <c r="BM161" s="25"/>
      <c r="BN161" s="25"/>
      <c r="BO161" s="25"/>
      <c r="BP161" s="25"/>
      <c r="BQ161" s="25"/>
      <c r="BR161" s="25"/>
    </row>
    <row r="162" spans="1:130" ht="15" customHeight="1">
      <c r="A162" s="24"/>
      <c r="B162" s="24"/>
      <c r="C162" s="24"/>
      <c r="D162" s="24"/>
      <c r="E162" s="24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4"/>
      <c r="AM162" s="24"/>
      <c r="AN162" s="24"/>
      <c r="AO162" s="24"/>
      <c r="BL162" s="25"/>
      <c r="BM162" s="25"/>
      <c r="BN162" s="25"/>
      <c r="BO162" s="25"/>
      <c r="BP162" s="25"/>
      <c r="BQ162" s="25"/>
      <c r="BR162" s="25"/>
    </row>
    <row r="163" spans="1:130" ht="15" customHeight="1">
      <c r="A163" s="24"/>
      <c r="B163" s="24"/>
      <c r="C163" s="24"/>
      <c r="D163" s="24"/>
      <c r="E163" s="24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4"/>
      <c r="AM163" s="24"/>
      <c r="AN163" s="24"/>
      <c r="AO163" s="24"/>
      <c r="BL163" s="25"/>
      <c r="BM163" s="25"/>
      <c r="BN163" s="25"/>
      <c r="BO163" s="25"/>
      <c r="BP163" s="25"/>
      <c r="BQ163" s="25"/>
      <c r="BR163" s="25"/>
    </row>
    <row r="164" spans="1:130">
      <c r="A164" s="24"/>
      <c r="B164" s="24"/>
      <c r="C164" s="24"/>
      <c r="D164" s="24"/>
      <c r="E164" s="24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4"/>
      <c r="AM164" s="24"/>
      <c r="AN164" s="24"/>
      <c r="AO164" s="24"/>
      <c r="BL164" s="25"/>
      <c r="BM164" s="25"/>
      <c r="BN164" s="25"/>
      <c r="BO164" s="25"/>
      <c r="BP164" s="25"/>
      <c r="BQ164" s="25"/>
      <c r="BR164" s="25"/>
    </row>
    <row r="165" spans="1:130" ht="15" hidden="1" customHeight="1">
      <c r="A165" s="24"/>
      <c r="B165" s="24"/>
      <c r="C165" s="24"/>
      <c r="D165" s="24"/>
      <c r="E165" s="24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4"/>
      <c r="AM165" s="24"/>
      <c r="AN165" s="24"/>
      <c r="AO165" s="24"/>
      <c r="BL165" s="25"/>
      <c r="BM165" s="25"/>
      <c r="BN165" s="25"/>
      <c r="BO165" s="25"/>
      <c r="BP165" s="25"/>
      <c r="BQ165" s="25"/>
      <c r="BR165" s="25"/>
    </row>
    <row r="166" spans="1:130" ht="15" hidden="1" customHeight="1">
      <c r="A166" s="24"/>
      <c r="B166" s="24"/>
      <c r="C166" s="24"/>
      <c r="D166" s="24"/>
      <c r="E166" s="24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4"/>
      <c r="AM166" s="24"/>
      <c r="AN166" s="24"/>
      <c r="AO166" s="24"/>
      <c r="BL166" s="25"/>
      <c r="BM166" s="25"/>
      <c r="BN166" s="25"/>
      <c r="BO166" s="25"/>
      <c r="BP166" s="25"/>
      <c r="BQ166" s="25"/>
      <c r="BR166" s="25"/>
    </row>
    <row r="167" spans="1:130" ht="15" hidden="1" customHeight="1">
      <c r="A167" s="24"/>
      <c r="B167" s="24"/>
      <c r="C167" s="24"/>
      <c r="D167" s="24"/>
      <c r="E167" s="24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4"/>
      <c r="AM167" s="24"/>
      <c r="AN167" s="24"/>
      <c r="AO167" s="24"/>
      <c r="BL167" s="25"/>
      <c r="BM167" s="25"/>
      <c r="BN167" s="25"/>
      <c r="BO167" s="25"/>
      <c r="BP167" s="25"/>
      <c r="BQ167" s="25"/>
      <c r="BR167" s="25"/>
    </row>
    <row r="168" spans="1:130" ht="15" hidden="1" customHeight="1">
      <c r="A168" s="24"/>
      <c r="B168" s="24"/>
      <c r="C168" s="24"/>
      <c r="D168" s="24"/>
      <c r="E168" s="24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4"/>
      <c r="AM168" s="24"/>
      <c r="AN168" s="24"/>
      <c r="AO168" s="24"/>
      <c r="BL168" s="25"/>
      <c r="BM168" s="25"/>
      <c r="BN168" s="25"/>
      <c r="BO168" s="25"/>
      <c r="BP168" s="25"/>
      <c r="BQ168" s="25"/>
      <c r="BR168" s="25"/>
    </row>
    <row r="169" spans="1:130" ht="15" hidden="1" customHeight="1">
      <c r="A169" s="24"/>
      <c r="B169" s="24"/>
      <c r="C169" s="24"/>
      <c r="D169" s="24"/>
      <c r="E169" s="24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4"/>
      <c r="AM169" s="24"/>
      <c r="AN169" s="24"/>
      <c r="AO169" s="24"/>
      <c r="BL169" s="25"/>
      <c r="BM169" s="25"/>
      <c r="BN169" s="25"/>
      <c r="BO169" s="25"/>
      <c r="BP169" s="25"/>
      <c r="BQ169" s="25"/>
      <c r="BR169" s="25"/>
    </row>
    <row r="170" spans="1:130" ht="15" hidden="1" customHeight="1">
      <c r="A170" s="24"/>
      <c r="B170" s="24"/>
      <c r="C170" s="24"/>
      <c r="D170" s="24"/>
      <c r="E170" s="24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4"/>
      <c r="AM170" s="24"/>
      <c r="AN170" s="24"/>
      <c r="AO170" s="24"/>
      <c r="BL170" s="25"/>
      <c r="BM170" s="25"/>
      <c r="BN170" s="25"/>
      <c r="BO170" s="25"/>
      <c r="BP170" s="25"/>
      <c r="BQ170" s="25"/>
      <c r="BR170" s="25"/>
    </row>
    <row r="171" spans="1:130" ht="15" hidden="1" customHeight="1">
      <c r="A171" s="24"/>
      <c r="B171" s="24"/>
      <c r="C171" s="24"/>
      <c r="D171" s="24"/>
      <c r="E171" s="24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4"/>
      <c r="AM171" s="24"/>
      <c r="AN171" s="24"/>
      <c r="AO171" s="24"/>
      <c r="BL171" s="25"/>
      <c r="BM171" s="25"/>
      <c r="BN171" s="25"/>
      <c r="BO171" s="25"/>
      <c r="BP171" s="25"/>
      <c r="BQ171" s="25"/>
      <c r="BR171" s="25"/>
    </row>
    <row r="172" spans="1:130" ht="185.25" customHeight="1">
      <c r="A172" s="24"/>
      <c r="B172" s="24"/>
      <c r="C172" s="24"/>
      <c r="D172" s="24"/>
      <c r="E172" s="24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4"/>
      <c r="AM172" s="24"/>
      <c r="AN172" s="24"/>
      <c r="AO172" s="24"/>
      <c r="BL172" s="25"/>
      <c r="BM172" s="25"/>
      <c r="BN172" s="25"/>
      <c r="BO172" s="25"/>
      <c r="BP172" s="25"/>
      <c r="BQ172" s="25"/>
      <c r="BR172" s="25"/>
      <c r="CW172" s="10" t="s">
        <v>21</v>
      </c>
      <c r="CX172" s="11" t="s">
        <v>99</v>
      </c>
    </row>
    <row r="173" spans="1:130" s="3" customFormat="1" ht="185.25" customHeight="1">
      <c r="A173" s="27"/>
      <c r="B173" s="27"/>
      <c r="C173" s="27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7"/>
      <c r="AM173" s="27"/>
      <c r="AN173" s="27"/>
      <c r="AO173" s="27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28"/>
      <c r="BM173" s="28"/>
      <c r="BN173" s="28"/>
      <c r="BO173" s="28"/>
      <c r="BP173" s="28"/>
      <c r="BQ173" s="28"/>
      <c r="BR173" s="2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5"/>
      <c r="CI173" s="5"/>
      <c r="CJ173" s="5"/>
      <c r="CK173" s="8"/>
      <c r="CL173" s="8"/>
      <c r="CM173" s="8"/>
      <c r="CN173" s="8"/>
      <c r="CO173" s="5"/>
      <c r="CP173" s="5"/>
      <c r="CQ173" s="5"/>
      <c r="CR173" s="8"/>
      <c r="CS173" s="8"/>
      <c r="CT173" s="8"/>
      <c r="CU173" s="8"/>
      <c r="CV173" s="8"/>
      <c r="CW173" s="10" t="s">
        <v>22</v>
      </c>
      <c r="CX173" s="11" t="s">
        <v>100</v>
      </c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17"/>
      <c r="DK173" s="17"/>
      <c r="DL173" s="17"/>
      <c r="DM173" s="17"/>
      <c r="DN173" s="17"/>
      <c r="DO173" s="17"/>
      <c r="DP173" s="23"/>
      <c r="DQ173" s="23"/>
      <c r="DR173" s="23"/>
      <c r="DS173" s="23"/>
      <c r="DT173" s="23"/>
      <c r="DU173" s="23"/>
      <c r="DV173" s="23"/>
      <c r="DW173" s="14"/>
      <c r="DX173" s="20"/>
      <c r="DY173" s="20"/>
      <c r="DZ173" s="20"/>
    </row>
    <row r="174" spans="1:130" ht="185.25" customHeight="1">
      <c r="A174" s="24"/>
      <c r="B174" s="24"/>
      <c r="C174" s="24"/>
      <c r="D174" s="24"/>
      <c r="E174" s="24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4"/>
      <c r="AM174" s="24"/>
      <c r="AN174" s="24"/>
      <c r="AO174" s="24"/>
      <c r="BL174" s="25"/>
      <c r="BM174" s="25"/>
      <c r="BN174" s="25"/>
      <c r="BO174" s="25"/>
      <c r="BP174" s="25"/>
      <c r="BQ174" s="25"/>
      <c r="BR174" s="25"/>
      <c r="CW174" s="10" t="s">
        <v>23</v>
      </c>
      <c r="CX174" s="11" t="s">
        <v>101</v>
      </c>
    </row>
    <row r="175" spans="1:130" ht="185.25" customHeight="1">
      <c r="A175" s="24"/>
      <c r="B175" s="24"/>
      <c r="C175" s="24"/>
      <c r="D175" s="24"/>
      <c r="E175" s="24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4"/>
      <c r="AM175" s="24"/>
      <c r="AN175" s="24"/>
      <c r="AO175" s="24"/>
      <c r="BL175" s="25"/>
      <c r="BM175" s="25"/>
      <c r="BN175" s="25"/>
      <c r="BO175" s="25"/>
      <c r="BP175" s="25"/>
      <c r="BQ175" s="25"/>
      <c r="BR175" s="25"/>
      <c r="CW175" s="10" t="s">
        <v>24</v>
      </c>
      <c r="CX175" s="11" t="s">
        <v>102</v>
      </c>
    </row>
    <row r="176" spans="1:130" ht="185.25" customHeight="1">
      <c r="A176" s="24"/>
      <c r="B176" s="24"/>
      <c r="C176" s="24"/>
      <c r="D176" s="24"/>
      <c r="E176" s="24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4"/>
      <c r="AM176" s="24"/>
      <c r="AN176" s="24"/>
      <c r="AO176" s="24"/>
      <c r="BL176" s="25"/>
      <c r="BM176" s="25"/>
      <c r="BN176" s="25"/>
      <c r="BO176" s="25"/>
      <c r="BP176" s="25"/>
      <c r="BQ176" s="25"/>
      <c r="BR176" s="25"/>
    </row>
    <row r="177" spans="1:70" ht="185.25" customHeight="1">
      <c r="A177" s="24"/>
      <c r="B177" s="24"/>
      <c r="C177" s="24"/>
      <c r="D177" s="24"/>
      <c r="E177" s="24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4"/>
      <c r="AM177" s="24"/>
      <c r="AN177" s="24"/>
      <c r="AO177" s="24"/>
      <c r="BL177" s="25"/>
      <c r="BM177" s="25"/>
      <c r="BN177" s="25"/>
      <c r="BO177" s="25"/>
      <c r="BP177" s="25"/>
      <c r="BQ177" s="25"/>
      <c r="BR177" s="25"/>
    </row>
    <row r="178" spans="1:70" ht="185.25" customHeight="1">
      <c r="A178" s="24"/>
      <c r="B178" s="24"/>
      <c r="C178" s="24"/>
      <c r="D178" s="24"/>
      <c r="E178" s="24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4"/>
      <c r="AM178" s="24"/>
      <c r="AN178" s="24"/>
      <c r="AO178" s="24"/>
      <c r="BL178" s="25"/>
      <c r="BM178" s="25"/>
      <c r="BN178" s="25"/>
      <c r="BO178" s="25"/>
      <c r="BP178" s="25"/>
      <c r="BQ178" s="25"/>
      <c r="BR178" s="25"/>
    </row>
    <row r="179" spans="1:70" ht="185.25" customHeight="1">
      <c r="A179" s="24"/>
      <c r="B179" s="24"/>
      <c r="C179" s="24"/>
      <c r="D179" s="24"/>
      <c r="E179" s="24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4"/>
      <c r="AM179" s="24"/>
      <c r="AN179" s="24"/>
      <c r="AO179" s="24"/>
      <c r="BL179" s="25"/>
      <c r="BM179" s="25"/>
      <c r="BN179" s="25"/>
      <c r="BO179" s="25"/>
      <c r="BP179" s="25"/>
      <c r="BQ179" s="25"/>
      <c r="BR179" s="25"/>
    </row>
    <row r="180" spans="1:70" ht="185.25" customHeight="1">
      <c r="A180" s="24"/>
      <c r="B180" s="24"/>
      <c r="C180" s="24"/>
      <c r="D180" s="24"/>
      <c r="E180" s="24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4"/>
      <c r="AM180" s="24"/>
      <c r="AN180" s="24"/>
      <c r="AO180" s="24"/>
      <c r="BL180" s="25"/>
      <c r="BM180" s="25"/>
      <c r="BN180" s="25"/>
      <c r="BO180" s="25"/>
      <c r="BP180" s="25"/>
      <c r="BQ180" s="25"/>
      <c r="BR180" s="25"/>
    </row>
    <row r="181" spans="1:70" ht="185.25" customHeight="1">
      <c r="A181" s="24"/>
      <c r="B181" s="24"/>
      <c r="C181" s="24"/>
      <c r="D181" s="24"/>
      <c r="E181" s="24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4"/>
      <c r="AM181" s="24"/>
      <c r="AN181" s="24"/>
      <c r="AO181" s="24"/>
      <c r="BL181" s="25"/>
      <c r="BM181" s="25"/>
      <c r="BN181" s="25"/>
      <c r="BO181" s="25"/>
      <c r="BP181" s="25"/>
      <c r="BQ181" s="25"/>
      <c r="BR181" s="25"/>
    </row>
    <row r="182" spans="1:70" ht="185.25" customHeight="1">
      <c r="A182" s="24"/>
      <c r="B182" s="24"/>
      <c r="C182" s="24"/>
      <c r="D182" s="24"/>
      <c r="E182" s="24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4"/>
      <c r="AM182" s="24"/>
      <c r="AN182" s="24"/>
      <c r="AO182" s="24"/>
      <c r="BL182" s="25"/>
      <c r="BM182" s="25"/>
      <c r="BN182" s="25"/>
      <c r="BO182" s="25"/>
      <c r="BP182" s="25"/>
      <c r="BQ182" s="25"/>
      <c r="BR182" s="25"/>
    </row>
    <row r="183" spans="1:70" ht="185.25" customHeight="1">
      <c r="A183" s="24"/>
      <c r="B183" s="24"/>
      <c r="C183" s="24"/>
      <c r="D183" s="24"/>
      <c r="E183" s="24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4"/>
      <c r="AM183" s="24"/>
      <c r="AN183" s="24"/>
      <c r="AO183" s="24"/>
      <c r="BL183" s="25"/>
      <c r="BM183" s="25"/>
      <c r="BN183" s="25"/>
      <c r="BO183" s="25"/>
      <c r="BP183" s="25"/>
      <c r="BQ183" s="25"/>
      <c r="BR183" s="25"/>
    </row>
    <row r="184" spans="1:70" ht="185.25" customHeight="1">
      <c r="A184" s="24"/>
      <c r="B184" s="24"/>
      <c r="C184" s="24"/>
      <c r="D184" s="24"/>
      <c r="E184" s="24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4"/>
      <c r="AM184" s="24"/>
      <c r="AN184" s="24"/>
      <c r="AO184" s="24"/>
      <c r="BL184" s="25"/>
      <c r="BM184" s="25"/>
      <c r="BN184" s="25"/>
      <c r="BO184" s="25"/>
      <c r="BP184" s="25"/>
      <c r="BQ184" s="25"/>
      <c r="BR184" s="25"/>
    </row>
    <row r="185" spans="1:70" ht="185.25" customHeight="1">
      <c r="A185" s="24"/>
      <c r="B185" s="24"/>
      <c r="C185" s="24"/>
      <c r="D185" s="24"/>
      <c r="E185" s="24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4"/>
      <c r="AM185" s="24"/>
      <c r="AN185" s="24"/>
      <c r="AO185" s="24"/>
      <c r="BL185" s="25"/>
      <c r="BM185" s="25"/>
      <c r="BN185" s="25"/>
      <c r="BO185" s="25"/>
      <c r="BP185" s="25"/>
      <c r="BQ185" s="25"/>
      <c r="BR185" s="25"/>
    </row>
    <row r="186" spans="1:70" ht="185.25" customHeight="1">
      <c r="A186" s="24"/>
      <c r="B186" s="24"/>
      <c r="C186" s="24"/>
      <c r="D186" s="24"/>
      <c r="E186" s="24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4"/>
      <c r="AM186" s="24"/>
      <c r="AN186" s="24"/>
      <c r="AO186" s="24"/>
      <c r="BL186" s="25"/>
      <c r="BM186" s="25"/>
      <c r="BN186" s="25"/>
      <c r="BO186" s="25"/>
      <c r="BP186" s="25"/>
      <c r="BQ186" s="25"/>
      <c r="BR186" s="25"/>
    </row>
    <row r="187" spans="1:70" ht="185.25" customHeight="1">
      <c r="A187" s="24"/>
      <c r="B187" s="24"/>
      <c r="C187" s="24"/>
      <c r="D187" s="24"/>
      <c r="E187" s="24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4"/>
      <c r="AM187" s="24"/>
      <c r="AN187" s="24"/>
      <c r="AO187" s="24"/>
      <c r="BL187" s="25"/>
      <c r="BM187" s="25"/>
      <c r="BN187" s="25"/>
      <c r="BO187" s="25"/>
      <c r="BP187" s="25"/>
      <c r="BQ187" s="25"/>
      <c r="BR187" s="25"/>
    </row>
    <row r="188" spans="1:70" ht="185.25" customHeight="1">
      <c r="A188" s="24"/>
      <c r="B188" s="24"/>
      <c r="C188" s="24"/>
      <c r="D188" s="24"/>
      <c r="E188" s="24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4"/>
      <c r="AM188" s="24"/>
      <c r="AN188" s="24"/>
      <c r="AO188" s="24"/>
      <c r="BL188" s="25"/>
      <c r="BM188" s="25"/>
      <c r="BN188" s="25"/>
      <c r="BO188" s="25"/>
      <c r="BP188" s="25"/>
      <c r="BQ188" s="25"/>
      <c r="BR188" s="25"/>
    </row>
    <row r="189" spans="1:70" ht="185.25" customHeight="1">
      <c r="A189" s="24"/>
      <c r="B189" s="24"/>
      <c r="C189" s="24"/>
      <c r="D189" s="24"/>
      <c r="E189" s="24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4"/>
      <c r="AM189" s="24"/>
      <c r="AN189" s="24"/>
      <c r="AO189" s="24"/>
      <c r="BL189" s="25"/>
      <c r="BM189" s="25"/>
      <c r="BN189" s="25"/>
      <c r="BO189" s="25"/>
      <c r="BP189" s="25"/>
      <c r="BQ189" s="25"/>
      <c r="BR189" s="25"/>
    </row>
    <row r="190" spans="1:70" ht="185.25" customHeight="1">
      <c r="A190" s="24"/>
      <c r="B190" s="24"/>
      <c r="C190" s="24"/>
      <c r="D190" s="24"/>
      <c r="E190" s="24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4"/>
      <c r="AM190" s="24"/>
      <c r="AN190" s="24"/>
      <c r="AO190" s="24"/>
      <c r="BL190" s="25"/>
      <c r="BM190" s="25"/>
      <c r="BN190" s="25"/>
      <c r="BO190" s="25"/>
      <c r="BP190" s="25"/>
      <c r="BQ190" s="25"/>
      <c r="BR190" s="25"/>
    </row>
    <row r="191" spans="1:70" ht="185.25" customHeight="1">
      <c r="A191" s="24"/>
      <c r="B191" s="24"/>
      <c r="C191" s="24"/>
      <c r="D191" s="24"/>
      <c r="E191" s="24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4"/>
      <c r="AM191" s="24"/>
      <c r="AN191" s="24"/>
      <c r="AO191" s="24"/>
      <c r="BL191" s="25"/>
      <c r="BM191" s="25"/>
      <c r="BN191" s="25"/>
      <c r="BO191" s="25"/>
      <c r="BP191" s="25"/>
      <c r="BQ191" s="25"/>
      <c r="BR191" s="25"/>
    </row>
    <row r="192" spans="1:70" ht="185.2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6"/>
      <c r="AD192" s="26"/>
      <c r="AE192" s="26"/>
      <c r="AF192" s="26"/>
      <c r="AG192" s="26"/>
      <c r="AH192" s="26"/>
      <c r="AI192" s="26"/>
      <c r="AJ192" s="26"/>
      <c r="AK192" s="26"/>
      <c r="AL192" s="24"/>
      <c r="AM192" s="24"/>
      <c r="AN192" s="24"/>
      <c r="AO192" s="24"/>
      <c r="BL192" s="25"/>
      <c r="BM192" s="25"/>
      <c r="BN192" s="25"/>
      <c r="BO192" s="25"/>
      <c r="BP192" s="25"/>
      <c r="BQ192" s="25"/>
      <c r="BR192" s="25"/>
    </row>
    <row r="193" spans="1:70" ht="185.2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6"/>
      <c r="AD193" s="26"/>
      <c r="AE193" s="26"/>
      <c r="AF193" s="26"/>
      <c r="AG193" s="26"/>
      <c r="AH193" s="26"/>
      <c r="AI193" s="26"/>
      <c r="AJ193" s="26"/>
      <c r="AK193" s="26"/>
      <c r="AL193" s="24"/>
      <c r="AM193" s="24"/>
      <c r="AN193" s="24"/>
      <c r="AO193" s="24"/>
      <c r="BL193" s="25"/>
      <c r="BM193" s="25"/>
      <c r="BN193" s="25"/>
      <c r="BO193" s="25"/>
      <c r="BP193" s="25"/>
      <c r="BQ193" s="25"/>
      <c r="BR193" s="25"/>
    </row>
    <row r="194" spans="1:70" ht="185.2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BL194" s="25"/>
      <c r="BM194" s="25"/>
      <c r="BN194" s="25"/>
      <c r="BO194" s="25"/>
      <c r="BP194" s="25"/>
      <c r="BQ194" s="25"/>
      <c r="BR194" s="25"/>
    </row>
    <row r="195" spans="1:70" ht="185.2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BL195" s="25"/>
      <c r="BM195" s="25"/>
      <c r="BN195" s="25"/>
      <c r="BO195" s="25"/>
      <c r="BP195" s="25"/>
      <c r="BQ195" s="25"/>
      <c r="BR195" s="25"/>
    </row>
    <row r="196" spans="1:70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BL196" s="25"/>
      <c r="BM196" s="25"/>
      <c r="BN196" s="25"/>
      <c r="BO196" s="25"/>
      <c r="BP196" s="25"/>
      <c r="BQ196" s="25"/>
      <c r="BR196" s="25"/>
    </row>
    <row r="197" spans="1:70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BL197" s="25"/>
      <c r="BM197" s="25"/>
      <c r="BN197" s="25"/>
      <c r="BO197" s="25"/>
      <c r="BP197" s="25"/>
      <c r="BQ197" s="25"/>
      <c r="BR197" s="25"/>
    </row>
    <row r="198" spans="1:70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BL198" s="25"/>
      <c r="BM198" s="25"/>
      <c r="BN198" s="25"/>
      <c r="BO198" s="25"/>
      <c r="BP198" s="25"/>
      <c r="BQ198" s="25"/>
      <c r="BR198" s="25"/>
    </row>
    <row r="199" spans="1:70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BL199" s="25"/>
      <c r="BM199" s="25"/>
      <c r="BN199" s="25"/>
      <c r="BO199" s="25"/>
      <c r="BP199" s="25"/>
      <c r="BQ199" s="25"/>
      <c r="BR199" s="25"/>
    </row>
    <row r="200" spans="1:70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BL200" s="25"/>
      <c r="BM200" s="25"/>
      <c r="BN200" s="25"/>
      <c r="BO200" s="25"/>
      <c r="BP200" s="25"/>
      <c r="BQ200" s="25"/>
      <c r="BR200" s="25"/>
    </row>
    <row r="201" spans="1:70" ht="408.75" customHeight="1">
      <c r="A201" s="29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BL201" s="25"/>
      <c r="BM201" s="25"/>
      <c r="BN201" s="25"/>
      <c r="BO201" s="25"/>
      <c r="BP201" s="25"/>
      <c r="BQ201" s="25"/>
      <c r="BR201" s="25"/>
    </row>
    <row r="202" spans="1:70" ht="408.75" customHeight="1">
      <c r="A202" s="4"/>
    </row>
    <row r="203" spans="1:70" ht="390" customHeight="1">
      <c r="A203" s="4"/>
    </row>
    <row r="204" spans="1:70" ht="406.5" customHeight="1">
      <c r="A204" s="4"/>
    </row>
  </sheetData>
  <sheetProtection password="DD8A" sheet="1" objects="1" scenarios="1"/>
  <sortState ref="BP31:BR35">
    <sortCondition ref="BP31:BP35"/>
  </sortState>
  <mergeCells count="287">
    <mergeCell ref="AK73:AN73"/>
    <mergeCell ref="Z74:AC74"/>
    <mergeCell ref="AK74:AN74"/>
    <mergeCell ref="AE73:AI73"/>
    <mergeCell ref="AE74:AI74"/>
    <mergeCell ref="Z69:AC69"/>
    <mergeCell ref="AK69:AN69"/>
    <mergeCell ref="AK72:AN72"/>
    <mergeCell ref="AP65:AR65"/>
    <mergeCell ref="AP59:AR59"/>
    <mergeCell ref="AP60:AR60"/>
    <mergeCell ref="AP61:AR61"/>
    <mergeCell ref="AP62:AR62"/>
    <mergeCell ref="AP50:AR50"/>
    <mergeCell ref="AP51:AR51"/>
    <mergeCell ref="AP52:AR52"/>
    <mergeCell ref="AP53:AR53"/>
    <mergeCell ref="AP54:AR54"/>
    <mergeCell ref="AP55:AR55"/>
    <mergeCell ref="AP56:AR56"/>
    <mergeCell ref="AP57:AR57"/>
    <mergeCell ref="AP58:AR58"/>
    <mergeCell ref="AK78:AN78"/>
    <mergeCell ref="CR7:CS7"/>
    <mergeCell ref="A127:AO127"/>
    <mergeCell ref="A126:AO126"/>
    <mergeCell ref="L27:S27"/>
    <mergeCell ref="C27:J27"/>
    <mergeCell ref="L31:S31"/>
    <mergeCell ref="AE75:AI75"/>
    <mergeCell ref="AE76:AI76"/>
    <mergeCell ref="O67:X67"/>
    <mergeCell ref="O68:X68"/>
    <mergeCell ref="O69:X69"/>
    <mergeCell ref="O72:X72"/>
    <mergeCell ref="O73:X73"/>
    <mergeCell ref="O74:X74"/>
    <mergeCell ref="O75:X75"/>
    <mergeCell ref="O76:X76"/>
    <mergeCell ref="Z75:AC75"/>
    <mergeCell ref="AK75:AN75"/>
    <mergeCell ref="Z76:AC76"/>
    <mergeCell ref="BC82:BF82"/>
    <mergeCell ref="K71:N71"/>
    <mergeCell ref="O86:X86"/>
    <mergeCell ref="AP64:AR64"/>
    <mergeCell ref="AE81:AH81"/>
    <mergeCell ref="B65:F65"/>
    <mergeCell ref="G49:J50"/>
    <mergeCell ref="V49:AI49"/>
    <mergeCell ref="V52:Z52"/>
    <mergeCell ref="AK52:AN52"/>
    <mergeCell ref="G56:J56"/>
    <mergeCell ref="L56:O56"/>
    <mergeCell ref="Q56:T56"/>
    <mergeCell ref="G55:J55"/>
    <mergeCell ref="B52:F52"/>
    <mergeCell ref="AF55:AI55"/>
    <mergeCell ref="AK55:AN55"/>
    <mergeCell ref="B55:F55"/>
    <mergeCell ref="AK53:AN53"/>
    <mergeCell ref="AK54:AN54"/>
    <mergeCell ref="B53:F53"/>
    <mergeCell ref="Q60:T60"/>
    <mergeCell ref="AF60:AI60"/>
    <mergeCell ref="B56:F56"/>
    <mergeCell ref="G60:J60"/>
    <mergeCell ref="AB57:AD57"/>
    <mergeCell ref="O78:X78"/>
    <mergeCell ref="AE78:AI78"/>
    <mergeCell ref="AK67:AN67"/>
    <mergeCell ref="Z68:AC68"/>
    <mergeCell ref="AK68:AN68"/>
    <mergeCell ref="K66:N66"/>
    <mergeCell ref="AK61:AN61"/>
    <mergeCell ref="AF61:AI61"/>
    <mergeCell ref="AK60:AN60"/>
    <mergeCell ref="AK70:AN70"/>
    <mergeCell ref="AE70:AH70"/>
    <mergeCell ref="G64:J65"/>
    <mergeCell ref="AK62:AN62"/>
    <mergeCell ref="AF23:AI23"/>
    <mergeCell ref="AF25:AI25"/>
    <mergeCell ref="C25:J25"/>
    <mergeCell ref="L25:S25"/>
    <mergeCell ref="C21:J21"/>
    <mergeCell ref="L21:S21"/>
    <mergeCell ref="G61:J61"/>
    <mergeCell ref="L60:O60"/>
    <mergeCell ref="AB60:AD60"/>
    <mergeCell ref="V33:Z33"/>
    <mergeCell ref="AA33:AD33"/>
    <mergeCell ref="AF33:AI33"/>
    <mergeCell ref="V48:Y48"/>
    <mergeCell ref="AF57:AI57"/>
    <mergeCell ref="V57:Z57"/>
    <mergeCell ref="V58:Z58"/>
    <mergeCell ref="AB55:AD55"/>
    <mergeCell ref="AB56:AD56"/>
    <mergeCell ref="AF31:AI31"/>
    <mergeCell ref="B51:F51"/>
    <mergeCell ref="V47:Y47"/>
    <mergeCell ref="B50:F50"/>
    <mergeCell ref="B48:F48"/>
    <mergeCell ref="B58:F58"/>
    <mergeCell ref="L58:O58"/>
    <mergeCell ref="Q58:T58"/>
    <mergeCell ref="AF58:AI58"/>
    <mergeCell ref="AB50:AD50"/>
    <mergeCell ref="AB51:AD51"/>
    <mergeCell ref="AB52:AD52"/>
    <mergeCell ref="AB53:AD53"/>
    <mergeCell ref="AB54:AD54"/>
    <mergeCell ref="AF56:AI56"/>
    <mergeCell ref="AB58:AD58"/>
    <mergeCell ref="V55:Z55"/>
    <mergeCell ref="V56:Z56"/>
    <mergeCell ref="C19:S19"/>
    <mergeCell ref="C29:S29"/>
    <mergeCell ref="C31:J31"/>
    <mergeCell ref="C33:J33"/>
    <mergeCell ref="V25:Z25"/>
    <mergeCell ref="AA23:AD23"/>
    <mergeCell ref="AA21:AD21"/>
    <mergeCell ref="AA25:AD25"/>
    <mergeCell ref="V24:Z24"/>
    <mergeCell ref="AA32:AD32"/>
    <mergeCell ref="V31:Z31"/>
    <mergeCell ref="AA31:AD31"/>
    <mergeCell ref="V32:Z32"/>
    <mergeCell ref="AE115:AJ115"/>
    <mergeCell ref="Q46:Y46"/>
    <mergeCell ref="F105:AJ110"/>
    <mergeCell ref="R99:Z99"/>
    <mergeCell ref="B60:F60"/>
    <mergeCell ref="B54:F54"/>
    <mergeCell ref="G62:J62"/>
    <mergeCell ref="L61:O61"/>
    <mergeCell ref="L62:O62"/>
    <mergeCell ref="Q61:T61"/>
    <mergeCell ref="Q62:T62"/>
    <mergeCell ref="V61:Z61"/>
    <mergeCell ref="V62:Z62"/>
    <mergeCell ref="AB61:AD61"/>
    <mergeCell ref="L51:O51"/>
    <mergeCell ref="Q53:T53"/>
    <mergeCell ref="G89:U90"/>
    <mergeCell ref="V53:Z53"/>
    <mergeCell ref="V54:Z54"/>
    <mergeCell ref="G48:J48"/>
    <mergeCell ref="B57:F57"/>
    <mergeCell ref="G57:J57"/>
    <mergeCell ref="L57:O57"/>
    <mergeCell ref="Q57:T57"/>
    <mergeCell ref="Q47:T47"/>
    <mergeCell ref="L48:O48"/>
    <mergeCell ref="Q48:T48"/>
    <mergeCell ref="AD38:AI39"/>
    <mergeCell ref="AF59:AI59"/>
    <mergeCell ref="AF21:AI21"/>
    <mergeCell ref="B43:S44"/>
    <mergeCell ref="G46:J46"/>
    <mergeCell ref="L46:O46"/>
    <mergeCell ref="AA29:AD29"/>
    <mergeCell ref="V30:Z30"/>
    <mergeCell ref="AA30:AD30"/>
    <mergeCell ref="AF30:AI30"/>
    <mergeCell ref="B59:F59"/>
    <mergeCell ref="G59:J59"/>
    <mergeCell ref="L59:O59"/>
    <mergeCell ref="Q59:T59"/>
    <mergeCell ref="AF52:AI52"/>
    <mergeCell ref="L52:O52"/>
    <mergeCell ref="L54:O54"/>
    <mergeCell ref="Q51:T51"/>
    <mergeCell ref="AA48:AD48"/>
    <mergeCell ref="V50:Z50"/>
    <mergeCell ref="V51:Z51"/>
    <mergeCell ref="AK48:AN48"/>
    <mergeCell ref="W92:AC92"/>
    <mergeCell ref="M92:U92"/>
    <mergeCell ref="G88:P88"/>
    <mergeCell ref="L55:O55"/>
    <mergeCell ref="G54:J54"/>
    <mergeCell ref="G52:J52"/>
    <mergeCell ref="AA88:AJ88"/>
    <mergeCell ref="Q54:T54"/>
    <mergeCell ref="AF51:AI51"/>
    <mergeCell ref="Q55:T55"/>
    <mergeCell ref="AF53:AI53"/>
    <mergeCell ref="G53:J53"/>
    <mergeCell ref="G51:J51"/>
    <mergeCell ref="AF54:AI54"/>
    <mergeCell ref="L53:O53"/>
    <mergeCell ref="Q52:T52"/>
    <mergeCell ref="AK59:AN59"/>
    <mergeCell ref="AK50:AN50"/>
    <mergeCell ref="AF48:AI48"/>
    <mergeCell ref="AD92:AG92"/>
    <mergeCell ref="AH91:AJ91"/>
    <mergeCell ref="Z67:AC67"/>
    <mergeCell ref="G58:J58"/>
    <mergeCell ref="AK22:AN22"/>
    <mergeCell ref="AF26:AI26"/>
    <mergeCell ref="AF27:AI27"/>
    <mergeCell ref="AF28:AI28"/>
    <mergeCell ref="AK56:AN56"/>
    <mergeCell ref="AK58:AN58"/>
    <mergeCell ref="AK57:AN57"/>
    <mergeCell ref="AK23:AN23"/>
    <mergeCell ref="AK25:AN25"/>
    <mergeCell ref="AK26:AN26"/>
    <mergeCell ref="AK27:AN27"/>
    <mergeCell ref="AK28:AN28"/>
    <mergeCell ref="AK51:AN51"/>
    <mergeCell ref="AK47:AN47"/>
    <mergeCell ref="AK32:AN32"/>
    <mergeCell ref="AK38:AN39"/>
    <mergeCell ref="AF47:AI47"/>
    <mergeCell ref="AK31:AN31"/>
    <mergeCell ref="AF34:AI34"/>
    <mergeCell ref="AF50:AI50"/>
    <mergeCell ref="AK29:AN29"/>
    <mergeCell ref="AK46:AN46"/>
    <mergeCell ref="AK33:AN33"/>
    <mergeCell ref="AF29:AI29"/>
    <mergeCell ref="AK30:AN30"/>
    <mergeCell ref="V35:Z35"/>
    <mergeCell ref="V36:Z36"/>
    <mergeCell ref="AA35:AD35"/>
    <mergeCell ref="AA36:AD36"/>
    <mergeCell ref="AF35:AI35"/>
    <mergeCell ref="AF36:AI36"/>
    <mergeCell ref="AK35:AN35"/>
    <mergeCell ref="AK36:AN36"/>
    <mergeCell ref="AF32:AI32"/>
    <mergeCell ref="V34:Z34"/>
    <mergeCell ref="AA34:AD34"/>
    <mergeCell ref="AK34:AN34"/>
    <mergeCell ref="AH92:AJ92"/>
    <mergeCell ref="V26:Z26"/>
    <mergeCell ref="V27:Z27"/>
    <mergeCell ref="V28:Z28"/>
    <mergeCell ref="AA26:AD26"/>
    <mergeCell ref="AA27:AD27"/>
    <mergeCell ref="AA28:AD28"/>
    <mergeCell ref="V59:Z59"/>
    <mergeCell ref="V60:Z60"/>
    <mergeCell ref="AB62:AD62"/>
    <mergeCell ref="AF62:AI62"/>
    <mergeCell ref="AB59:AD59"/>
    <mergeCell ref="AE69:AI69"/>
    <mergeCell ref="Z78:AC78"/>
    <mergeCell ref="Z79:AC79"/>
    <mergeCell ref="AA84:AI84"/>
    <mergeCell ref="AE72:AI72"/>
    <mergeCell ref="Z73:AC73"/>
    <mergeCell ref="O79:X79"/>
    <mergeCell ref="AE79:AI79"/>
    <mergeCell ref="Z72:AC72"/>
    <mergeCell ref="V29:Z29"/>
    <mergeCell ref="AA46:AI46"/>
    <mergeCell ref="AA47:AD47"/>
    <mergeCell ref="G6:AC7"/>
    <mergeCell ref="G8:AC9"/>
    <mergeCell ref="AK90:AN91"/>
    <mergeCell ref="W89:AC90"/>
    <mergeCell ref="Z64:AC64"/>
    <mergeCell ref="AA86:AJ86"/>
    <mergeCell ref="AK88:AN88"/>
    <mergeCell ref="O81:X81"/>
    <mergeCell ref="Z80:AC80"/>
    <mergeCell ref="AE80:AI80"/>
    <mergeCell ref="AK80:AN80"/>
    <mergeCell ref="AK76:AN76"/>
    <mergeCell ref="AE67:AI67"/>
    <mergeCell ref="AE68:AI68"/>
    <mergeCell ref="M91:U91"/>
    <mergeCell ref="W91:AC91"/>
    <mergeCell ref="AD91:AG91"/>
    <mergeCell ref="AK65:AN65"/>
    <mergeCell ref="AK64:AN64"/>
    <mergeCell ref="AK79:AN79"/>
    <mergeCell ref="AK86:AN86"/>
    <mergeCell ref="AK84:AN84"/>
    <mergeCell ref="AK81:AN81"/>
    <mergeCell ref="K77:N77"/>
  </mergeCells>
  <dataValidations count="4">
    <dataValidation type="list" allowBlank="1" showInputMessage="1" showErrorMessage="1" sqref="AQ19">
      <formula1>$BB$9:$BB$18</formula1>
    </dataValidation>
    <dataValidation type="list" allowBlank="1" showInputMessage="1" showErrorMessage="1" sqref="AQ25:AQ36">
      <formula1>$AT$22:$AT$25</formula1>
    </dataValidation>
    <dataValidation type="list" allowBlank="1" showInputMessage="1" showErrorMessage="1" sqref="Z78:Z80 Z67:AC76">
      <formula1>"1,2,3,4,5,6"</formula1>
    </dataValidation>
    <dataValidation type="list" allowBlank="1" showInputMessage="1" showErrorMessage="1" sqref="O86:X86">
      <formula1>"DIRECTA,INDIRECTA"</formula1>
    </dataValidation>
  </dataValidations>
  <hyperlinks>
    <hyperlink ref="L21" r:id="rId1"/>
  </hyperlinks>
  <printOptions horizontalCentered="1"/>
  <pageMargins left="0.19685039370078741" right="0.19685039370078741" top="0.19685039370078741" bottom="0.19685039370078741" header="0.11811023622047245" footer="0.11811023622047245"/>
  <pageSetup paperSize="9" scale="43" orientation="portrait" r:id="rId2"/>
  <rowBreaks count="1" manualBreakCount="1">
    <brk id="127" max="40" man="1"/>
  </rowBreaks>
  <ignoredErrors>
    <ignoredError sqref="G63:J63 G48:J48 U54 G55:K55 K54 AK63:AN63 AO55 AO63 AO52 AO53 AO54 AO64 AO51 AL51:AN51 AO68 P54 U53 U52 P55 AO67 R51:U51 U55 G51:J51 G52:J53" unlockedFormula="1"/>
  </ignoredErrors>
  <drawing r:id="rId3"/>
  <legacyDrawing r:id="rId4"/>
  <extLst xmlns:x14="http://schemas.microsoft.com/office/spreadsheetml/2009/9/main">
    <ext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Hoja2!$I$7:$I$12</xm:f>
          </x14:formula1>
          <xm:sqref>AF23:AI23 AF25:AF36 AG25:AI34</xm:sqref>
        </x14:dataValidation>
        <x14:dataValidation type="list" allowBlank="1" showInputMessage="1" showErrorMessage="1">
          <x14:formula1>
            <xm:f>Hoja2!$C$36:$C$42</xm:f>
          </x14:formula1>
          <xm:sqref>L61:O62</xm:sqref>
        </x14:dataValidation>
        <x14:dataValidation type="list" showInputMessage="1" showErrorMessage="1">
          <x14:formula1>
            <xm:f>Hoja2!$C$66:$C$85</xm:f>
          </x14:formula1>
          <xm:sqref>O71:X71</xm:sqref>
        </x14:dataValidation>
        <x14:dataValidation type="list" showInputMessage="1" showErrorMessage="1">
          <x14:formula1>
            <xm:f>Hoja2!$C$44:$C$59</xm:f>
          </x14:formula1>
          <xm:sqref>L51:O60</xm:sqref>
        </x14:dataValidation>
        <x14:dataValidation type="list" showInputMessage="1" showErrorMessage="1">
          <x14:formula1>
            <xm:f>Hoja2!$C$7:$C$34</xm:f>
          </x14:formula1>
          <xm:sqref>L48:O48</xm:sqref>
        </x14:dataValidation>
        <x14:dataValidation type="list" showInputMessage="1" showErrorMessage="1">
          <x14:formula1>
            <xm:f>Hoja2!$C$66:$C$67</xm:f>
          </x14:formula1>
          <xm:sqref>O69:X70</xm:sqref>
        </x14:dataValidation>
        <x14:dataValidation type="list" showInputMessage="1" showErrorMessage="1">
          <x14:formula1>
            <xm:f>Hoja2!$C$69:$C$85</xm:f>
          </x14:formula1>
          <xm:sqref>O72:X76</xm:sqref>
        </x14:dataValidation>
        <x14:dataValidation type="list" allowBlank="1" showInputMessage="1" showErrorMessage="1">
          <x14:formula1>
            <xm:f>Hoja2!$F$66:$F$68</xm:f>
          </x14:formula1>
          <xm:sqref>O79:X80</xm:sqref>
        </x14:dataValidation>
        <x14:dataValidation type="list" allowBlank="1" showInputMessage="1" showErrorMessage="1">
          <x14:formula1>
            <xm:f>Hoja2!$F$65:$F$68</xm:f>
          </x14:formula1>
          <xm:sqref>O78:X78</xm:sqref>
        </x14:dataValidation>
        <x14:dataValidation type="list" showInputMessage="1" showErrorMessage="1">
          <x14:formula1>
            <xm:f>Hoja2!$C$66:$C$71</xm:f>
          </x14:formula1>
          <xm:sqref>O67:X68</xm:sqref>
        </x14:dataValidation>
        <x14:dataValidation type="list" allowBlank="1" showInputMessage="1" showErrorMessage="1">
          <x14:formula1>
            <xm:f>Hoja2!$C$91:$C$215</xm:f>
          </x14:formula1>
          <xm:sqref>V51:Z60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B4:J271"/>
  <sheetViews>
    <sheetView topLeftCell="B204" workbookViewId="0">
      <selection activeCell="D91" sqref="D91"/>
    </sheetView>
  </sheetViews>
  <sheetFormatPr baseColWidth="10" defaultRowHeight="15"/>
  <cols>
    <col min="1" max="2" width="11.42578125" style="36"/>
    <col min="3" max="3" width="52.7109375" style="36" customWidth="1"/>
    <col min="4" max="4" width="13.5703125" style="36" customWidth="1"/>
    <col min="5" max="5" width="11.42578125" style="36"/>
    <col min="6" max="6" width="34.28515625" style="36" customWidth="1"/>
    <col min="7" max="7" width="45.42578125" style="36" customWidth="1"/>
    <col min="8" max="9" width="11.42578125" style="36"/>
    <col min="10" max="10" width="11.85546875" style="36" customWidth="1"/>
    <col min="11" max="16384" width="11.42578125" style="36"/>
  </cols>
  <sheetData>
    <row r="4" spans="3:10">
      <c r="G4" s="36" t="s">
        <v>356</v>
      </c>
    </row>
    <row r="5" spans="3:10">
      <c r="G5" s="36" t="s">
        <v>357</v>
      </c>
    </row>
    <row r="6" spans="3:10">
      <c r="C6" s="35" t="s">
        <v>105</v>
      </c>
      <c r="D6" s="36" t="s">
        <v>106</v>
      </c>
      <c r="E6" s="36" t="s">
        <v>107</v>
      </c>
    </row>
    <row r="7" spans="3:10">
      <c r="C7" s="36" t="s">
        <v>294</v>
      </c>
      <c r="D7" s="37">
        <f>98.4+12.4</f>
        <v>110.80000000000001</v>
      </c>
      <c r="E7" s="37">
        <f>D7*0.21+D7</f>
        <v>134.06800000000001</v>
      </c>
      <c r="I7" s="36" t="s">
        <v>108</v>
      </c>
      <c r="J7" s="36" t="s">
        <v>109</v>
      </c>
    </row>
    <row r="8" spans="3:10">
      <c r="C8" s="36" t="s">
        <v>295</v>
      </c>
      <c r="D8" s="37">
        <f>98.4+8.3</f>
        <v>106.7</v>
      </c>
      <c r="E8" s="37">
        <f t="shared" ref="E8:E55" si="0">D8*0.21+D8</f>
        <v>129.107</v>
      </c>
      <c r="I8" s="36" t="s">
        <v>110</v>
      </c>
      <c r="J8" s="36" t="s">
        <v>32</v>
      </c>
    </row>
    <row r="9" spans="3:10">
      <c r="C9" s="36" t="s">
        <v>296</v>
      </c>
      <c r="D9" s="37">
        <v>98.4</v>
      </c>
      <c r="E9" s="37">
        <f t="shared" si="0"/>
        <v>119.06400000000001</v>
      </c>
      <c r="I9" s="36" t="s">
        <v>111</v>
      </c>
      <c r="J9" s="36" t="s">
        <v>112</v>
      </c>
    </row>
    <row r="10" spans="3:10">
      <c r="C10" s="36" t="s">
        <v>277</v>
      </c>
      <c r="D10" s="37">
        <v>98.4</v>
      </c>
      <c r="E10" s="37">
        <f t="shared" si="0"/>
        <v>119.06400000000001</v>
      </c>
      <c r="I10" s="36" t="s">
        <v>113</v>
      </c>
    </row>
    <row r="11" spans="3:10">
      <c r="C11" s="36" t="s">
        <v>297</v>
      </c>
      <c r="D11" s="37">
        <f>82.7+8.3</f>
        <v>91</v>
      </c>
      <c r="E11" s="37">
        <f t="shared" si="0"/>
        <v>110.11</v>
      </c>
      <c r="I11" s="36" t="s">
        <v>114</v>
      </c>
    </row>
    <row r="12" spans="3:10">
      <c r="C12" s="36" t="s">
        <v>298</v>
      </c>
      <c r="D12" s="37">
        <v>82.7</v>
      </c>
      <c r="E12" s="37">
        <f t="shared" si="0"/>
        <v>100.06700000000001</v>
      </c>
      <c r="I12" s="36" t="s">
        <v>115</v>
      </c>
    </row>
    <row r="13" spans="3:10">
      <c r="C13" s="36" t="s">
        <v>299</v>
      </c>
      <c r="D13" s="37">
        <v>82.7</v>
      </c>
      <c r="E13" s="37">
        <f t="shared" si="0"/>
        <v>100.06700000000001</v>
      </c>
    </row>
    <row r="14" spans="3:10">
      <c r="C14" s="36" t="s">
        <v>300</v>
      </c>
      <c r="D14" s="37">
        <f>74.4+8.3</f>
        <v>82.7</v>
      </c>
      <c r="E14" s="37">
        <f t="shared" si="0"/>
        <v>100.06700000000001</v>
      </c>
    </row>
    <row r="15" spans="3:10">
      <c r="C15" s="36" t="s">
        <v>301</v>
      </c>
      <c r="D15" s="37">
        <v>74.400000000000006</v>
      </c>
      <c r="E15" s="37">
        <f t="shared" si="0"/>
        <v>90.024000000000001</v>
      </c>
    </row>
    <row r="16" spans="3:10">
      <c r="C16" s="36" t="s">
        <v>302</v>
      </c>
      <c r="D16" s="37">
        <v>74.400000000000006</v>
      </c>
      <c r="E16" s="37">
        <f t="shared" si="0"/>
        <v>90.024000000000001</v>
      </c>
    </row>
    <row r="17" spans="3:10">
      <c r="C17" s="36" t="s">
        <v>303</v>
      </c>
      <c r="D17" s="37">
        <f>51.2+8.3</f>
        <v>59.5</v>
      </c>
      <c r="E17" s="37">
        <f t="shared" si="0"/>
        <v>71.995000000000005</v>
      </c>
    </row>
    <row r="18" spans="3:10">
      <c r="C18" s="36" t="s">
        <v>304</v>
      </c>
      <c r="D18" s="37">
        <v>51.2</v>
      </c>
      <c r="E18" s="37">
        <f t="shared" si="0"/>
        <v>61.952000000000005</v>
      </c>
    </row>
    <row r="19" spans="3:10">
      <c r="C19" s="36" t="s">
        <v>305</v>
      </c>
      <c r="D19" s="37">
        <v>51.2</v>
      </c>
      <c r="E19" s="37">
        <f t="shared" si="0"/>
        <v>61.952000000000005</v>
      </c>
    </row>
    <row r="20" spans="3:10">
      <c r="C20" s="36" t="s">
        <v>278</v>
      </c>
      <c r="D20" s="37">
        <f>41.3+8.3</f>
        <v>49.599999999999994</v>
      </c>
      <c r="E20" s="37">
        <f t="shared" si="0"/>
        <v>60.015999999999991</v>
      </c>
    </row>
    <row r="21" spans="3:10">
      <c r="C21" s="36" t="s">
        <v>279</v>
      </c>
      <c r="D21" s="37">
        <v>41.3</v>
      </c>
      <c r="E21" s="37">
        <f t="shared" si="0"/>
        <v>49.972999999999999</v>
      </c>
    </row>
    <row r="22" spans="3:10">
      <c r="C22" s="36" t="s">
        <v>280</v>
      </c>
      <c r="D22" s="37">
        <v>41.3</v>
      </c>
      <c r="E22" s="37">
        <f t="shared" si="0"/>
        <v>49.972999999999999</v>
      </c>
      <c r="I22" s="36" t="s">
        <v>13</v>
      </c>
      <c r="J22" s="36" t="s">
        <v>13</v>
      </c>
    </row>
    <row r="23" spans="3:10">
      <c r="C23" s="36" t="s">
        <v>337</v>
      </c>
      <c r="D23" s="37">
        <v>84.7</v>
      </c>
      <c r="E23" s="37">
        <f t="shared" si="0"/>
        <v>102.48699999999999</v>
      </c>
    </row>
    <row r="24" spans="3:10">
      <c r="C24" s="36" t="s">
        <v>338</v>
      </c>
      <c r="D24" s="37">
        <v>118.1</v>
      </c>
      <c r="E24" s="37">
        <f t="shared" si="0"/>
        <v>142.90099999999998</v>
      </c>
    </row>
    <row r="25" spans="3:10">
      <c r="C25" s="36" t="s">
        <v>339</v>
      </c>
      <c r="D25" s="37">
        <v>151.5</v>
      </c>
      <c r="E25" s="37">
        <f t="shared" si="0"/>
        <v>183.315</v>
      </c>
    </row>
    <row r="26" spans="3:10">
      <c r="C26" s="36" t="s">
        <v>340</v>
      </c>
      <c r="D26" s="37">
        <v>184.9</v>
      </c>
      <c r="E26" s="37">
        <f t="shared" si="0"/>
        <v>223.72900000000001</v>
      </c>
    </row>
    <row r="27" spans="3:10">
      <c r="C27" s="36" t="s">
        <v>341</v>
      </c>
      <c r="D27" s="37">
        <v>55.7</v>
      </c>
      <c r="E27" s="37">
        <f t="shared" si="0"/>
        <v>67.397000000000006</v>
      </c>
    </row>
    <row r="28" spans="3:10">
      <c r="C28" s="36" t="s">
        <v>342</v>
      </c>
      <c r="D28" s="37">
        <v>89.1</v>
      </c>
      <c r="E28" s="37">
        <f t="shared" si="0"/>
        <v>107.81099999999999</v>
      </c>
    </row>
    <row r="29" spans="3:10">
      <c r="C29" s="36" t="s">
        <v>343</v>
      </c>
      <c r="D29" s="37">
        <v>122.5</v>
      </c>
      <c r="E29" s="37">
        <f t="shared" si="0"/>
        <v>148.22499999999999</v>
      </c>
    </row>
    <row r="30" spans="3:10">
      <c r="C30" s="36" t="s">
        <v>344</v>
      </c>
      <c r="D30" s="37">
        <v>155.9</v>
      </c>
      <c r="E30" s="37">
        <f t="shared" si="0"/>
        <v>188.63900000000001</v>
      </c>
    </row>
    <row r="31" spans="3:10">
      <c r="C31" s="38" t="s">
        <v>285</v>
      </c>
      <c r="D31" s="37">
        <v>53.7</v>
      </c>
      <c r="E31" s="39">
        <f t="shared" si="0"/>
        <v>64.977000000000004</v>
      </c>
    </row>
    <row r="32" spans="3:10">
      <c r="C32" s="38" t="s">
        <v>286</v>
      </c>
      <c r="D32" s="37">
        <v>28.1</v>
      </c>
      <c r="E32" s="39">
        <f t="shared" si="0"/>
        <v>34.001000000000005</v>
      </c>
    </row>
    <row r="33" spans="3:5">
      <c r="C33" s="38" t="s">
        <v>287</v>
      </c>
      <c r="D33" s="37">
        <v>20.7</v>
      </c>
      <c r="E33" s="39">
        <f t="shared" si="0"/>
        <v>25.046999999999997</v>
      </c>
    </row>
    <row r="34" spans="3:5">
      <c r="C34" s="38" t="s">
        <v>288</v>
      </c>
      <c r="D34" s="37">
        <v>12.4</v>
      </c>
      <c r="E34" s="39">
        <f t="shared" si="0"/>
        <v>15.004000000000001</v>
      </c>
    </row>
    <row r="35" spans="3:5">
      <c r="C35" s="38"/>
      <c r="D35" s="37"/>
      <c r="E35" s="37"/>
    </row>
    <row r="36" spans="3:5">
      <c r="C36" s="36" t="s">
        <v>116</v>
      </c>
      <c r="D36" s="37">
        <f>14.1+15</f>
        <v>29.1</v>
      </c>
      <c r="E36" s="37">
        <f t="shared" si="0"/>
        <v>35.210999999999999</v>
      </c>
    </row>
    <row r="37" spans="3:5">
      <c r="C37" s="36" t="s">
        <v>117</v>
      </c>
      <c r="D37" s="37">
        <f>10.7+8.3+15</f>
        <v>34</v>
      </c>
      <c r="E37" s="37">
        <f t="shared" si="0"/>
        <v>41.14</v>
      </c>
    </row>
    <row r="38" spans="3:5">
      <c r="C38" s="36" t="s">
        <v>118</v>
      </c>
      <c r="D38" s="37">
        <f>10.7+12.4+15</f>
        <v>38.1</v>
      </c>
      <c r="E38" s="37">
        <f t="shared" si="0"/>
        <v>46.100999999999999</v>
      </c>
    </row>
    <row r="39" spans="3:5">
      <c r="C39" s="36" t="s">
        <v>292</v>
      </c>
      <c r="D39" s="37">
        <f>10.7+15+2.48</f>
        <v>28.18</v>
      </c>
      <c r="E39" s="37">
        <f t="shared" si="0"/>
        <v>34.097799999999999</v>
      </c>
    </row>
    <row r="40" spans="3:5">
      <c r="C40" s="36" t="s">
        <v>119</v>
      </c>
      <c r="D40" s="37">
        <f>10.7+15+8.3+2.48</f>
        <v>36.479999999999997</v>
      </c>
      <c r="E40" s="37">
        <f t="shared" si="0"/>
        <v>44.140799999999999</v>
      </c>
    </row>
    <row r="41" spans="3:5">
      <c r="C41" s="36" t="s">
        <v>120</v>
      </c>
      <c r="D41" s="37">
        <f>14.7+15</f>
        <v>29.7</v>
      </c>
      <c r="E41" s="37">
        <f t="shared" si="0"/>
        <v>35.936999999999998</v>
      </c>
    </row>
    <row r="42" spans="3:5">
      <c r="E42" s="40"/>
    </row>
    <row r="43" spans="3:5">
      <c r="C43" s="35" t="s">
        <v>121</v>
      </c>
      <c r="E43" s="40"/>
    </row>
    <row r="44" spans="3:5">
      <c r="C44" s="36" t="s">
        <v>122</v>
      </c>
      <c r="D44" s="37">
        <v>15.7</v>
      </c>
      <c r="E44" s="37">
        <f t="shared" si="0"/>
        <v>18.997</v>
      </c>
    </row>
    <row r="45" spans="3:5">
      <c r="C45" s="36" t="s">
        <v>123</v>
      </c>
      <c r="D45" s="37">
        <v>12.4</v>
      </c>
      <c r="E45" s="37">
        <f t="shared" si="0"/>
        <v>15.004000000000001</v>
      </c>
    </row>
    <row r="46" spans="3:5">
      <c r="C46" s="36" t="s">
        <v>351</v>
      </c>
      <c r="D46" s="37">
        <v>24.8</v>
      </c>
      <c r="E46" s="37">
        <f t="shared" si="0"/>
        <v>30.008000000000003</v>
      </c>
    </row>
    <row r="47" spans="3:5">
      <c r="C47" s="36" t="s">
        <v>124</v>
      </c>
      <c r="D47" s="37">
        <v>14.9</v>
      </c>
      <c r="E47" s="37">
        <f t="shared" si="0"/>
        <v>18.029</v>
      </c>
    </row>
    <row r="48" spans="3:5">
      <c r="C48" s="36" t="s">
        <v>307</v>
      </c>
      <c r="D48" s="37">
        <v>5.8</v>
      </c>
      <c r="E48" s="37">
        <f t="shared" si="0"/>
        <v>7.0179999999999998</v>
      </c>
    </row>
    <row r="49" spans="3:10">
      <c r="C49" s="36" t="s">
        <v>291</v>
      </c>
      <c r="D49" s="37">
        <v>7.4</v>
      </c>
      <c r="E49" s="37">
        <f t="shared" si="0"/>
        <v>8.9540000000000006</v>
      </c>
      <c r="I49" s="36" t="s">
        <v>13</v>
      </c>
      <c r="J49" s="36" t="s">
        <v>13</v>
      </c>
    </row>
    <row r="50" spans="3:10">
      <c r="C50" s="157" t="s">
        <v>293</v>
      </c>
      <c r="D50" s="37">
        <v>10</v>
      </c>
      <c r="E50" s="37">
        <f t="shared" si="0"/>
        <v>12.1</v>
      </c>
    </row>
    <row r="51" spans="3:10">
      <c r="C51" s="157" t="s">
        <v>125</v>
      </c>
      <c r="D51" s="37">
        <v>14.9</v>
      </c>
      <c r="E51" s="37">
        <f t="shared" si="0"/>
        <v>18.029</v>
      </c>
    </row>
    <row r="52" spans="3:10">
      <c r="C52" s="158" t="s">
        <v>130</v>
      </c>
      <c r="D52" s="37">
        <v>15.7</v>
      </c>
      <c r="E52" s="39">
        <f>D52*0.21+D52</f>
        <v>18.997</v>
      </c>
    </row>
    <row r="53" spans="3:10">
      <c r="C53" s="157" t="s">
        <v>126</v>
      </c>
      <c r="D53" s="37">
        <v>22.5</v>
      </c>
      <c r="E53" s="37">
        <f t="shared" si="0"/>
        <v>27.225000000000001</v>
      </c>
    </row>
    <row r="54" spans="3:10">
      <c r="C54" s="157" t="s">
        <v>127</v>
      </c>
      <c r="D54" s="37">
        <v>16.5</v>
      </c>
      <c r="E54" s="37">
        <f t="shared" si="0"/>
        <v>19.965</v>
      </c>
    </row>
    <row r="55" spans="3:10">
      <c r="C55" s="36" t="s">
        <v>128</v>
      </c>
      <c r="D55" s="37">
        <v>9.9</v>
      </c>
      <c r="E55" s="37">
        <f t="shared" si="0"/>
        <v>11.979000000000001</v>
      </c>
    </row>
    <row r="56" spans="3:10">
      <c r="C56" s="36" t="s">
        <v>129</v>
      </c>
      <c r="D56" s="37">
        <v>12.9</v>
      </c>
      <c r="E56" s="37">
        <f>D56*0.21+D56</f>
        <v>15.609</v>
      </c>
      <c r="F56" s="36" t="s">
        <v>129</v>
      </c>
      <c r="G56" s="37">
        <v>12.9</v>
      </c>
      <c r="H56" s="37">
        <f>G56*0.21+G56</f>
        <v>15.609</v>
      </c>
    </row>
    <row r="57" spans="3:10">
      <c r="C57" s="36" t="s">
        <v>131</v>
      </c>
      <c r="E57" s="40"/>
    </row>
    <row r="58" spans="3:10">
      <c r="C58" s="36" t="s">
        <v>132</v>
      </c>
      <c r="E58" s="40"/>
    </row>
    <row r="59" spans="3:10">
      <c r="E59" s="40"/>
      <c r="I59" s="36" t="s">
        <v>13</v>
      </c>
    </row>
    <row r="60" spans="3:10">
      <c r="C60" s="35" t="s">
        <v>133</v>
      </c>
      <c r="E60" s="40"/>
      <c r="I60" s="36" t="s">
        <v>13</v>
      </c>
    </row>
    <row r="61" spans="3:10">
      <c r="C61" s="36" t="s">
        <v>134</v>
      </c>
      <c r="I61" s="36" t="s">
        <v>13</v>
      </c>
    </row>
    <row r="62" spans="3:10">
      <c r="C62" s="36" t="s">
        <v>135</v>
      </c>
      <c r="D62" s="36" t="s">
        <v>13</v>
      </c>
      <c r="E62" s="40"/>
    </row>
    <row r="63" spans="3:10">
      <c r="C63" s="36" t="s">
        <v>136</v>
      </c>
      <c r="E63" s="40"/>
    </row>
    <row r="64" spans="3:10">
      <c r="E64" s="40"/>
    </row>
    <row r="65" spans="2:9">
      <c r="C65" s="35" t="s">
        <v>137</v>
      </c>
      <c r="E65" s="40"/>
    </row>
    <row r="66" spans="2:9">
      <c r="C66" s="36" t="s">
        <v>138</v>
      </c>
      <c r="D66" s="37">
        <v>53.7</v>
      </c>
      <c r="E66" s="37">
        <f t="shared" ref="E66:E84" si="1">D66*0.21+D66</f>
        <v>64.977000000000004</v>
      </c>
      <c r="F66" s="36" t="s">
        <v>309</v>
      </c>
      <c r="G66" s="36">
        <v>26.9</v>
      </c>
    </row>
    <row r="67" spans="2:9">
      <c r="C67" s="36" t="s">
        <v>139</v>
      </c>
      <c r="D67" s="37">
        <v>33.1</v>
      </c>
      <c r="E67" s="37">
        <f t="shared" si="1"/>
        <v>40.051000000000002</v>
      </c>
      <c r="F67" s="36" t="s">
        <v>308</v>
      </c>
      <c r="G67" s="36">
        <v>16.600000000000001</v>
      </c>
    </row>
    <row r="68" spans="2:9">
      <c r="C68" s="36" t="s">
        <v>347</v>
      </c>
      <c r="D68" s="37">
        <v>35</v>
      </c>
      <c r="E68" s="37"/>
      <c r="F68" s="36" t="s">
        <v>345</v>
      </c>
      <c r="G68" s="36">
        <v>10.4</v>
      </c>
    </row>
    <row r="69" spans="2:9">
      <c r="C69" s="36" t="s">
        <v>140</v>
      </c>
      <c r="D69" s="37">
        <v>20.7</v>
      </c>
      <c r="E69" s="37">
        <f t="shared" si="1"/>
        <v>25.046999999999997</v>
      </c>
      <c r="F69" s="36" t="s">
        <v>346</v>
      </c>
      <c r="G69" s="36">
        <v>17.5</v>
      </c>
    </row>
    <row r="70" spans="2:9">
      <c r="C70" s="36" t="s">
        <v>141</v>
      </c>
      <c r="D70" s="37">
        <v>9</v>
      </c>
      <c r="E70" s="37">
        <f t="shared" si="1"/>
        <v>10.89</v>
      </c>
    </row>
    <row r="71" spans="2:9">
      <c r="D71" s="37"/>
      <c r="E71" s="37"/>
    </row>
    <row r="72" spans="2:9">
      <c r="C72" s="36" t="s">
        <v>290</v>
      </c>
      <c r="D72" s="37">
        <v>7.4</v>
      </c>
      <c r="E72" s="39">
        <f t="shared" si="1"/>
        <v>8.9540000000000006</v>
      </c>
    </row>
    <row r="73" spans="2:9">
      <c r="C73" s="36" t="s">
        <v>289</v>
      </c>
      <c r="D73" s="37">
        <v>11.6</v>
      </c>
      <c r="E73" s="39">
        <f t="shared" si="1"/>
        <v>14.036</v>
      </c>
    </row>
    <row r="74" spans="2:9">
      <c r="C74" s="36" t="s">
        <v>142</v>
      </c>
      <c r="D74" s="37">
        <v>8.3000000000000007</v>
      </c>
      <c r="E74" s="39">
        <f t="shared" si="1"/>
        <v>10.043000000000001</v>
      </c>
      <c r="G74" s="36" t="s">
        <v>350</v>
      </c>
    </row>
    <row r="75" spans="2:9">
      <c r="C75" s="36" t="s">
        <v>143</v>
      </c>
      <c r="D75" s="37">
        <v>8.3000000000000007</v>
      </c>
      <c r="E75" s="39">
        <f t="shared" si="1"/>
        <v>10.043000000000001</v>
      </c>
      <c r="F75" s="36" t="s">
        <v>13</v>
      </c>
      <c r="G75" s="36" t="s">
        <v>294</v>
      </c>
      <c r="H75" s="36">
        <v>400</v>
      </c>
    </row>
    <row r="76" spans="2:9">
      <c r="C76" s="36" t="s">
        <v>144</v>
      </c>
      <c r="D76" s="37">
        <v>4.92</v>
      </c>
      <c r="E76" s="39">
        <f>D76*0.21+D76</f>
        <v>5.9531999999999998</v>
      </c>
      <c r="G76" s="36" t="s">
        <v>295</v>
      </c>
      <c r="H76" s="36">
        <v>400</v>
      </c>
    </row>
    <row r="77" spans="2:9">
      <c r="C77" s="36" t="s">
        <v>145</v>
      </c>
      <c r="D77" s="37">
        <v>12.4</v>
      </c>
      <c r="E77" s="39">
        <f t="shared" si="1"/>
        <v>15.004000000000001</v>
      </c>
      <c r="G77" s="36" t="s">
        <v>296</v>
      </c>
      <c r="H77" s="36">
        <v>400</v>
      </c>
    </row>
    <row r="78" spans="2:9">
      <c r="C78" s="36" t="s">
        <v>146</v>
      </c>
      <c r="D78" s="37">
        <v>12</v>
      </c>
      <c r="E78" s="39">
        <f t="shared" si="1"/>
        <v>14.52</v>
      </c>
      <c r="G78" s="36" t="s">
        <v>277</v>
      </c>
      <c r="H78" s="36">
        <v>400</v>
      </c>
    </row>
    <row r="79" spans="2:9">
      <c r="C79" s="36" t="s">
        <v>147</v>
      </c>
      <c r="D79" s="37">
        <v>12</v>
      </c>
      <c r="E79" s="39">
        <f t="shared" si="1"/>
        <v>14.52</v>
      </c>
      <c r="F79" s="41"/>
      <c r="G79" s="36" t="s">
        <v>297</v>
      </c>
      <c r="H79" s="36">
        <v>100</v>
      </c>
    </row>
    <row r="80" spans="2:9">
      <c r="B80" s="41"/>
      <c r="C80" s="36" t="s">
        <v>148</v>
      </c>
      <c r="D80" s="37">
        <v>99</v>
      </c>
      <c r="E80" s="39">
        <f t="shared" si="1"/>
        <v>119.78999999999999</v>
      </c>
      <c r="F80" s="41"/>
      <c r="G80" s="36" t="s">
        <v>298</v>
      </c>
      <c r="H80" s="36">
        <v>300</v>
      </c>
      <c r="I80" s="41"/>
    </row>
    <row r="81" spans="2:9">
      <c r="B81" s="41"/>
      <c r="C81" s="36" t="s">
        <v>149</v>
      </c>
      <c r="D81" s="37">
        <v>8.3000000000000007</v>
      </c>
      <c r="E81" s="39">
        <f t="shared" si="1"/>
        <v>10.043000000000001</v>
      </c>
      <c r="F81" s="41"/>
      <c r="G81" s="36" t="s">
        <v>299</v>
      </c>
      <c r="H81" s="36">
        <v>300</v>
      </c>
      <c r="I81" s="41"/>
    </row>
    <row r="82" spans="2:9">
      <c r="B82" s="41"/>
      <c r="C82" s="36" t="s">
        <v>150</v>
      </c>
      <c r="D82" s="37">
        <v>4.2</v>
      </c>
      <c r="E82" s="39">
        <f t="shared" si="1"/>
        <v>5.0819999999999999</v>
      </c>
      <c r="F82" s="41"/>
      <c r="G82" s="36" t="s">
        <v>300</v>
      </c>
      <c r="H82" s="36">
        <v>300</v>
      </c>
      <c r="I82" s="41"/>
    </row>
    <row r="83" spans="2:9">
      <c r="B83" s="41"/>
      <c r="C83" s="36" t="s">
        <v>151</v>
      </c>
      <c r="D83" s="37">
        <v>4.95</v>
      </c>
      <c r="E83" s="39">
        <f t="shared" si="1"/>
        <v>5.9895000000000005</v>
      </c>
      <c r="F83" s="41"/>
      <c r="G83" s="36" t="s">
        <v>301</v>
      </c>
      <c r="H83" s="36">
        <v>300</v>
      </c>
      <c r="I83" s="41"/>
    </row>
    <row r="84" spans="2:9">
      <c r="B84" s="41"/>
      <c r="C84" s="36" t="s">
        <v>152</v>
      </c>
      <c r="D84" s="37">
        <v>2.4</v>
      </c>
      <c r="E84" s="39">
        <f t="shared" si="1"/>
        <v>2.9039999999999999</v>
      </c>
      <c r="F84" s="41"/>
      <c r="G84" s="36" t="s">
        <v>302</v>
      </c>
      <c r="H84" s="36">
        <v>300</v>
      </c>
      <c r="I84" s="41"/>
    </row>
    <row r="85" spans="2:9">
      <c r="B85" s="41"/>
      <c r="D85" s="37"/>
      <c r="E85" s="39"/>
      <c r="F85" s="41"/>
      <c r="G85" s="36" t="s">
        <v>303</v>
      </c>
      <c r="H85" s="36">
        <v>200</v>
      </c>
      <c r="I85" s="41"/>
    </row>
    <row r="86" spans="2:9">
      <c r="B86" s="41"/>
      <c r="D86" s="37"/>
      <c r="E86" s="39"/>
      <c r="F86" s="41"/>
      <c r="G86" s="36" t="s">
        <v>304</v>
      </c>
      <c r="H86" s="36">
        <v>200</v>
      </c>
      <c r="I86" s="41"/>
    </row>
    <row r="87" spans="2:9">
      <c r="B87" s="41"/>
      <c r="D87" s="37"/>
      <c r="E87" s="39"/>
      <c r="F87" s="41"/>
      <c r="G87" s="36" t="s">
        <v>305</v>
      </c>
      <c r="H87" s="36">
        <v>200</v>
      </c>
      <c r="I87" s="41"/>
    </row>
    <row r="88" spans="2:9">
      <c r="B88" s="41"/>
      <c r="D88" s="37"/>
      <c r="E88" s="39"/>
      <c r="F88" s="41"/>
      <c r="G88" s="38" t="s">
        <v>285</v>
      </c>
      <c r="H88" s="36">
        <v>300</v>
      </c>
      <c r="I88" s="41"/>
    </row>
    <row r="89" spans="2:9">
      <c r="B89" s="41"/>
      <c r="F89" s="41"/>
      <c r="G89" s="38" t="s">
        <v>286</v>
      </c>
      <c r="H89" s="36">
        <v>200</v>
      </c>
      <c r="I89" s="41"/>
    </row>
    <row r="90" spans="2:9">
      <c r="B90" s="41"/>
      <c r="F90" s="41"/>
      <c r="G90" s="36" t="s">
        <v>122</v>
      </c>
      <c r="H90" s="36">
        <v>100</v>
      </c>
      <c r="I90" s="41"/>
    </row>
    <row r="91" spans="2:9">
      <c r="B91" s="41"/>
      <c r="C91" s="42" t="s">
        <v>153</v>
      </c>
      <c r="D91" s="43">
        <v>1</v>
      </c>
      <c r="E91" s="44"/>
      <c r="F91" s="41"/>
      <c r="G91" s="36" t="s">
        <v>352</v>
      </c>
      <c r="H91" s="36">
        <v>100</v>
      </c>
      <c r="I91" s="41"/>
    </row>
    <row r="92" spans="2:9">
      <c r="B92" s="41"/>
      <c r="C92" s="45" t="s">
        <v>154</v>
      </c>
      <c r="D92" s="46">
        <v>1</v>
      </c>
      <c r="E92" s="47"/>
      <c r="F92" s="41"/>
      <c r="G92" s="158" t="s">
        <v>130</v>
      </c>
      <c r="H92" s="36">
        <v>100</v>
      </c>
      <c r="I92" s="41"/>
    </row>
    <row r="93" spans="2:9">
      <c r="B93" s="41"/>
      <c r="C93" s="42" t="s">
        <v>358</v>
      </c>
      <c r="D93" s="48">
        <v>1</v>
      </c>
      <c r="E93" s="47"/>
      <c r="F93" s="41"/>
      <c r="G93" s="157" t="s">
        <v>126</v>
      </c>
      <c r="H93" s="36">
        <v>100</v>
      </c>
      <c r="I93" s="41"/>
    </row>
    <row r="94" spans="2:9">
      <c r="B94" s="41"/>
      <c r="C94" s="49" t="s">
        <v>155</v>
      </c>
      <c r="D94" s="46">
        <v>5</v>
      </c>
      <c r="E94" s="47"/>
      <c r="F94" s="41"/>
      <c r="G94" s="41"/>
      <c r="H94" s="41"/>
      <c r="I94" s="41"/>
    </row>
    <row r="95" spans="2:9">
      <c r="B95" s="41"/>
      <c r="C95" s="42" t="s">
        <v>156</v>
      </c>
      <c r="D95" s="43">
        <v>5</v>
      </c>
      <c r="E95" s="47"/>
      <c r="F95" s="41"/>
      <c r="G95" s="41"/>
      <c r="H95" s="41"/>
      <c r="I95" s="41"/>
    </row>
    <row r="96" spans="2:9">
      <c r="B96" s="41"/>
      <c r="C96" s="45" t="s">
        <v>157</v>
      </c>
      <c r="D96" s="46">
        <v>1</v>
      </c>
      <c r="E96" s="47"/>
      <c r="F96" s="41"/>
      <c r="G96" s="41"/>
      <c r="H96" s="41"/>
      <c r="I96" s="41"/>
    </row>
    <row r="97" spans="2:9">
      <c r="B97" s="41"/>
      <c r="C97" s="42" t="s">
        <v>158</v>
      </c>
      <c r="D97" s="48">
        <v>2</v>
      </c>
      <c r="E97" s="47"/>
      <c r="F97" s="41"/>
      <c r="G97" s="41"/>
      <c r="H97" s="41"/>
      <c r="I97" s="41"/>
    </row>
    <row r="98" spans="2:9">
      <c r="B98" s="41"/>
      <c r="C98" s="45" t="s">
        <v>359</v>
      </c>
      <c r="D98" s="46">
        <v>1</v>
      </c>
      <c r="E98" s="47"/>
      <c r="F98" s="41"/>
      <c r="G98" s="41"/>
      <c r="H98" s="41"/>
      <c r="I98" s="41"/>
    </row>
    <row r="99" spans="2:9">
      <c r="B99" s="41"/>
      <c r="C99" s="42" t="s">
        <v>159</v>
      </c>
      <c r="D99" s="43">
        <v>7</v>
      </c>
      <c r="E99" s="47"/>
      <c r="F99" s="41"/>
      <c r="G99" s="41"/>
      <c r="H99" s="41"/>
      <c r="I99" s="41"/>
    </row>
    <row r="100" spans="2:9">
      <c r="B100" s="41"/>
      <c r="C100" s="45" t="s">
        <v>160</v>
      </c>
      <c r="D100" s="46">
        <v>3</v>
      </c>
      <c r="E100" s="47"/>
      <c r="F100" s="41"/>
      <c r="G100" s="41"/>
      <c r="H100" s="41"/>
      <c r="I100" s="41"/>
    </row>
    <row r="101" spans="2:9">
      <c r="B101" s="41"/>
      <c r="C101" s="42" t="s">
        <v>360</v>
      </c>
      <c r="D101" s="48">
        <v>3</v>
      </c>
      <c r="E101" s="47"/>
      <c r="F101" s="41"/>
      <c r="G101" s="41"/>
      <c r="H101" s="41"/>
      <c r="I101" s="41"/>
    </row>
    <row r="102" spans="2:9">
      <c r="B102" s="41"/>
      <c r="C102" s="45" t="s">
        <v>161</v>
      </c>
      <c r="D102" s="46">
        <v>3</v>
      </c>
      <c r="E102" s="47"/>
      <c r="F102" s="41"/>
      <c r="G102" s="41"/>
      <c r="H102" s="41"/>
      <c r="I102" s="41"/>
    </row>
    <row r="103" spans="2:9">
      <c r="B103" s="41"/>
      <c r="C103" s="42" t="s">
        <v>162</v>
      </c>
      <c r="D103" s="43">
        <v>5</v>
      </c>
      <c r="E103" s="47"/>
      <c r="F103" s="41"/>
      <c r="G103" s="41"/>
      <c r="H103" s="41"/>
      <c r="I103" s="41"/>
    </row>
    <row r="104" spans="2:9">
      <c r="B104" s="41"/>
      <c r="C104" s="45" t="s">
        <v>361</v>
      </c>
      <c r="D104" s="46">
        <v>6</v>
      </c>
      <c r="E104" s="47"/>
      <c r="F104" s="41"/>
      <c r="G104" s="41"/>
      <c r="H104" s="41"/>
      <c r="I104" s="41"/>
    </row>
    <row r="105" spans="2:9">
      <c r="B105" s="41"/>
      <c r="C105" s="42" t="s">
        <v>362</v>
      </c>
      <c r="D105" s="48">
        <v>10</v>
      </c>
      <c r="E105" s="47"/>
      <c r="F105" s="41"/>
      <c r="G105" s="41"/>
      <c r="H105" s="41"/>
      <c r="I105" s="41"/>
    </row>
    <row r="106" spans="2:9">
      <c r="B106" s="41"/>
      <c r="C106" s="45" t="s">
        <v>363</v>
      </c>
      <c r="D106" s="46">
        <v>19</v>
      </c>
      <c r="E106" s="50"/>
      <c r="F106" s="41"/>
      <c r="G106" s="41"/>
      <c r="H106" s="41"/>
      <c r="I106" s="41"/>
    </row>
    <row r="107" spans="2:9">
      <c r="B107" s="41"/>
      <c r="C107" s="51" t="s">
        <v>163</v>
      </c>
      <c r="D107" s="43">
        <v>19</v>
      </c>
      <c r="E107" s="50"/>
      <c r="F107" s="41"/>
      <c r="G107" s="41"/>
      <c r="H107" s="41"/>
      <c r="I107" s="41"/>
    </row>
    <row r="108" spans="2:9">
      <c r="B108" s="41"/>
      <c r="C108" s="45" t="s">
        <v>364</v>
      </c>
      <c r="D108" s="46">
        <v>4</v>
      </c>
      <c r="E108" s="50"/>
      <c r="F108" s="41"/>
      <c r="G108" s="41"/>
      <c r="H108" s="41"/>
      <c r="I108" s="41"/>
    </row>
    <row r="109" spans="2:9">
      <c r="B109" s="41"/>
      <c r="C109" s="42" t="s">
        <v>365</v>
      </c>
      <c r="D109" s="48">
        <v>6</v>
      </c>
      <c r="E109" s="50"/>
      <c r="F109" s="41"/>
      <c r="G109" s="41"/>
      <c r="H109" s="41"/>
      <c r="I109" s="41"/>
    </row>
    <row r="110" spans="2:9">
      <c r="B110" s="41"/>
      <c r="C110" s="45" t="s">
        <v>366</v>
      </c>
      <c r="D110" s="46">
        <v>17</v>
      </c>
      <c r="E110" s="50"/>
      <c r="F110" s="41"/>
      <c r="G110" s="41"/>
      <c r="H110" s="41"/>
      <c r="I110" s="41"/>
    </row>
    <row r="111" spans="2:9">
      <c r="B111" s="41"/>
      <c r="C111" s="42" t="s">
        <v>367</v>
      </c>
      <c r="D111" s="43">
        <v>11</v>
      </c>
      <c r="E111" s="50"/>
      <c r="F111" s="41"/>
      <c r="G111" s="41"/>
      <c r="H111" s="41"/>
      <c r="I111" s="41"/>
    </row>
    <row r="112" spans="2:9">
      <c r="B112" s="41"/>
      <c r="C112" s="45" t="s">
        <v>368</v>
      </c>
      <c r="D112" s="46">
        <v>4</v>
      </c>
      <c r="E112" s="50"/>
      <c r="F112" s="41"/>
      <c r="G112" s="41"/>
      <c r="H112" s="41"/>
      <c r="I112" s="41"/>
    </row>
    <row r="113" spans="2:9">
      <c r="B113" s="41"/>
      <c r="C113" s="42" t="s">
        <v>369</v>
      </c>
      <c r="D113" s="48">
        <v>3</v>
      </c>
      <c r="E113" s="50"/>
      <c r="F113" s="41"/>
      <c r="G113" s="41"/>
      <c r="H113" s="41"/>
      <c r="I113" s="41"/>
    </row>
    <row r="114" spans="2:9">
      <c r="B114" s="41"/>
      <c r="C114" s="45" t="s">
        <v>164</v>
      </c>
      <c r="D114" s="46">
        <v>11</v>
      </c>
      <c r="E114" s="50"/>
      <c r="F114" s="41"/>
      <c r="G114" s="41"/>
      <c r="H114" s="41"/>
      <c r="I114" s="41"/>
    </row>
    <row r="115" spans="2:9">
      <c r="B115" s="41"/>
      <c r="C115" s="42" t="s">
        <v>165</v>
      </c>
      <c r="D115" s="43">
        <v>5</v>
      </c>
      <c r="E115" s="50"/>
      <c r="F115" s="41"/>
      <c r="G115" s="41"/>
      <c r="H115" s="41"/>
      <c r="I115" s="41"/>
    </row>
    <row r="116" spans="2:9">
      <c r="B116" s="41"/>
      <c r="C116" s="45" t="s">
        <v>166</v>
      </c>
      <c r="D116" s="46">
        <v>6</v>
      </c>
      <c r="E116" s="50"/>
      <c r="F116" s="41"/>
      <c r="G116" s="41"/>
      <c r="H116" s="41"/>
      <c r="I116" s="41"/>
    </row>
    <row r="117" spans="2:9">
      <c r="B117" s="41"/>
      <c r="C117" s="42" t="s">
        <v>167</v>
      </c>
      <c r="D117" s="48">
        <v>9</v>
      </c>
      <c r="E117" s="50"/>
      <c r="F117" s="41"/>
      <c r="G117" s="41"/>
      <c r="H117" s="41"/>
      <c r="I117" s="41"/>
    </row>
    <row r="118" spans="2:9">
      <c r="B118" s="41"/>
      <c r="C118" s="45" t="s">
        <v>168</v>
      </c>
      <c r="D118" s="46">
        <v>7</v>
      </c>
      <c r="E118" s="50"/>
      <c r="F118" s="41"/>
      <c r="G118" s="41"/>
      <c r="H118" s="41"/>
      <c r="I118" s="41"/>
    </row>
    <row r="119" spans="2:9">
      <c r="B119" s="41"/>
      <c r="C119" s="42" t="s">
        <v>370</v>
      </c>
      <c r="D119" s="43">
        <v>18</v>
      </c>
      <c r="E119" s="50"/>
      <c r="F119" s="41"/>
      <c r="G119" s="41"/>
      <c r="H119" s="41"/>
      <c r="I119" s="41"/>
    </row>
    <row r="120" spans="2:9">
      <c r="B120" s="41"/>
      <c r="C120" s="45" t="s">
        <v>371</v>
      </c>
      <c r="D120" s="46">
        <v>15</v>
      </c>
      <c r="E120" s="50"/>
      <c r="F120" s="41"/>
      <c r="G120" s="41"/>
      <c r="H120" s="41"/>
      <c r="I120" s="41"/>
    </row>
    <row r="121" spans="2:9">
      <c r="B121" s="41"/>
      <c r="C121" s="51" t="s">
        <v>173</v>
      </c>
      <c r="D121" s="48">
        <v>8</v>
      </c>
      <c r="E121" s="50"/>
      <c r="F121" s="41"/>
      <c r="G121" s="41"/>
      <c r="H121" s="41"/>
      <c r="I121" s="41"/>
    </row>
    <row r="122" spans="2:9">
      <c r="B122" s="41"/>
      <c r="C122" s="45" t="s">
        <v>174</v>
      </c>
      <c r="D122" s="46">
        <v>1</v>
      </c>
      <c r="E122" s="50"/>
      <c r="F122" s="41"/>
      <c r="G122" s="41"/>
      <c r="H122" s="41"/>
      <c r="I122" s="41"/>
    </row>
    <row r="123" spans="2:9">
      <c r="B123" s="41"/>
      <c r="C123" s="42" t="s">
        <v>170</v>
      </c>
      <c r="D123" s="43">
        <v>8</v>
      </c>
      <c r="E123" s="50"/>
      <c r="F123" s="41"/>
      <c r="G123" s="41"/>
      <c r="H123" s="41"/>
      <c r="I123" s="41"/>
    </row>
    <row r="124" spans="2:9">
      <c r="B124" s="41"/>
      <c r="C124" s="45" t="s">
        <v>169</v>
      </c>
      <c r="D124" s="46">
        <v>16</v>
      </c>
      <c r="E124" s="50"/>
      <c r="F124" s="41"/>
      <c r="G124" s="41"/>
      <c r="H124" s="41"/>
      <c r="I124" s="41"/>
    </row>
    <row r="125" spans="2:9">
      <c r="B125" s="41"/>
      <c r="C125" s="42" t="s">
        <v>171</v>
      </c>
      <c r="D125" s="48">
        <v>36</v>
      </c>
      <c r="E125" s="50"/>
      <c r="F125" s="41"/>
      <c r="G125" s="41"/>
      <c r="H125" s="41"/>
      <c r="I125" s="41"/>
    </row>
    <row r="126" spans="2:9">
      <c r="B126" s="41"/>
      <c r="C126" s="45" t="s">
        <v>172</v>
      </c>
      <c r="D126" s="46">
        <v>8</v>
      </c>
      <c r="E126" s="50"/>
      <c r="F126" s="41"/>
      <c r="G126" s="41"/>
      <c r="H126" s="41"/>
      <c r="I126" s="41"/>
    </row>
    <row r="127" spans="2:9">
      <c r="B127" s="41"/>
      <c r="C127" s="42" t="s">
        <v>176</v>
      </c>
      <c r="D127" s="43">
        <v>22</v>
      </c>
      <c r="E127" s="50"/>
      <c r="F127" s="41"/>
      <c r="G127" s="41"/>
      <c r="H127" s="41"/>
      <c r="I127" s="41"/>
    </row>
    <row r="128" spans="2:9">
      <c r="B128" s="41"/>
      <c r="C128" s="45" t="s">
        <v>175</v>
      </c>
      <c r="D128" s="46">
        <v>18</v>
      </c>
      <c r="E128" s="50"/>
      <c r="F128" s="41"/>
      <c r="G128" s="41"/>
      <c r="H128" s="41"/>
      <c r="I128" s="41"/>
    </row>
    <row r="129" spans="2:9">
      <c r="B129" s="41"/>
      <c r="C129" s="42" t="s">
        <v>372</v>
      </c>
      <c r="D129" s="48">
        <v>26</v>
      </c>
      <c r="E129" s="50"/>
      <c r="F129" s="41"/>
      <c r="G129" s="41"/>
      <c r="H129" s="41"/>
      <c r="I129" s="41"/>
    </row>
    <row r="130" spans="2:9">
      <c r="B130" s="41"/>
      <c r="C130" s="45" t="s">
        <v>373</v>
      </c>
      <c r="D130" s="46">
        <v>22</v>
      </c>
      <c r="E130" s="50"/>
      <c r="F130" s="41"/>
      <c r="G130" s="41"/>
      <c r="H130" s="41"/>
      <c r="I130" s="41"/>
    </row>
    <row r="131" spans="2:9">
      <c r="B131" s="41"/>
      <c r="C131" s="42" t="s">
        <v>374</v>
      </c>
      <c r="D131" s="43">
        <v>27</v>
      </c>
      <c r="E131" s="50"/>
      <c r="F131" s="41"/>
      <c r="G131" s="41"/>
      <c r="H131" s="41"/>
      <c r="I131" s="41"/>
    </row>
    <row r="132" spans="2:9">
      <c r="B132" s="41"/>
      <c r="C132" s="45" t="s">
        <v>375</v>
      </c>
      <c r="D132" s="46">
        <v>29</v>
      </c>
      <c r="E132" s="50"/>
      <c r="F132" s="41"/>
      <c r="G132" s="41"/>
      <c r="H132" s="41"/>
      <c r="I132" s="41"/>
    </row>
    <row r="133" spans="2:9">
      <c r="B133" s="41"/>
      <c r="C133" s="42" t="s">
        <v>177</v>
      </c>
      <c r="D133" s="48">
        <v>22</v>
      </c>
      <c r="E133" s="50"/>
      <c r="F133" s="41"/>
      <c r="G133" s="41"/>
      <c r="H133" s="41"/>
      <c r="I133" s="41"/>
    </row>
    <row r="134" spans="2:9">
      <c r="B134" s="41"/>
      <c r="C134" s="45" t="s">
        <v>178</v>
      </c>
      <c r="D134" s="46">
        <v>30</v>
      </c>
      <c r="E134" s="50"/>
      <c r="F134" s="41"/>
      <c r="G134" s="41"/>
      <c r="H134" s="41"/>
      <c r="I134" s="41"/>
    </row>
    <row r="135" spans="2:9">
      <c r="B135" s="41"/>
      <c r="C135" s="42" t="s">
        <v>179</v>
      </c>
      <c r="D135" s="43">
        <v>33</v>
      </c>
      <c r="E135" s="50"/>
      <c r="F135" s="41"/>
      <c r="G135" s="41"/>
      <c r="H135" s="41"/>
      <c r="I135" s="41"/>
    </row>
    <row r="136" spans="2:9">
      <c r="B136" s="41"/>
      <c r="C136" s="45" t="s">
        <v>180</v>
      </c>
      <c r="D136" s="46">
        <v>27</v>
      </c>
      <c r="E136" s="50"/>
      <c r="F136" s="41"/>
      <c r="G136" s="41"/>
      <c r="H136" s="41"/>
      <c r="I136" s="41"/>
    </row>
    <row r="137" spans="2:9">
      <c r="B137" s="41"/>
      <c r="C137" s="42" t="s">
        <v>181</v>
      </c>
      <c r="D137" s="48">
        <v>9</v>
      </c>
      <c r="E137" s="50"/>
      <c r="F137" s="41"/>
      <c r="G137" s="41"/>
      <c r="H137" s="41"/>
      <c r="I137" s="41"/>
    </row>
    <row r="138" spans="2:9">
      <c r="B138" s="41"/>
      <c r="C138" s="45" t="s">
        <v>182</v>
      </c>
      <c r="D138" s="46">
        <v>11</v>
      </c>
      <c r="E138" s="50"/>
      <c r="F138" s="41"/>
      <c r="G138" s="41"/>
      <c r="H138" s="41"/>
      <c r="I138" s="41"/>
    </row>
    <row r="139" spans="2:9">
      <c r="B139" s="41"/>
      <c r="C139" s="51" t="s">
        <v>183</v>
      </c>
      <c r="D139" s="43">
        <v>10</v>
      </c>
      <c r="E139" s="50"/>
      <c r="F139" s="41"/>
      <c r="G139" s="41"/>
      <c r="H139" s="41"/>
      <c r="I139" s="41"/>
    </row>
    <row r="140" spans="2:9">
      <c r="B140" s="41"/>
      <c r="C140" s="49" t="s">
        <v>184</v>
      </c>
      <c r="D140" s="46">
        <v>14</v>
      </c>
      <c r="E140" s="50"/>
      <c r="F140" s="41"/>
      <c r="G140" s="41"/>
      <c r="H140" s="41"/>
      <c r="I140" s="41"/>
    </row>
    <row r="141" spans="2:9">
      <c r="B141" s="41"/>
      <c r="C141" s="42" t="s">
        <v>185</v>
      </c>
      <c r="D141" s="48">
        <v>3</v>
      </c>
      <c r="E141" s="50"/>
      <c r="F141" s="41"/>
      <c r="G141" s="41"/>
      <c r="H141" s="41"/>
      <c r="I141" s="41"/>
    </row>
    <row r="142" spans="2:9">
      <c r="B142" s="41"/>
      <c r="C142" s="45" t="s">
        <v>186</v>
      </c>
      <c r="D142" s="46">
        <v>9</v>
      </c>
      <c r="E142" s="50"/>
      <c r="F142" s="41"/>
      <c r="G142" s="41"/>
      <c r="H142" s="41"/>
      <c r="I142" s="41"/>
    </row>
    <row r="143" spans="2:9">
      <c r="B143" s="41"/>
      <c r="C143" s="42" t="s">
        <v>187</v>
      </c>
      <c r="D143" s="43">
        <v>12</v>
      </c>
      <c r="E143" s="50"/>
      <c r="F143" s="41"/>
      <c r="G143" s="41"/>
      <c r="H143" s="41"/>
      <c r="I143" s="41"/>
    </row>
    <row r="144" spans="2:9">
      <c r="B144" s="41"/>
      <c r="C144" s="45" t="s">
        <v>188</v>
      </c>
      <c r="D144" s="46">
        <v>0</v>
      </c>
      <c r="E144" s="50"/>
      <c r="F144" s="41"/>
      <c r="G144" s="41"/>
      <c r="H144" s="41"/>
      <c r="I144" s="41"/>
    </row>
    <row r="145" spans="2:9">
      <c r="B145" s="41"/>
      <c r="C145" s="42" t="s">
        <v>376</v>
      </c>
      <c r="D145" s="48">
        <v>4</v>
      </c>
      <c r="E145" s="50"/>
      <c r="F145" s="41"/>
      <c r="G145" s="41"/>
      <c r="H145" s="41"/>
      <c r="I145" s="41"/>
    </row>
    <row r="146" spans="2:9">
      <c r="B146" s="41"/>
      <c r="C146" s="45" t="s">
        <v>377</v>
      </c>
      <c r="D146" s="46">
        <v>0</v>
      </c>
      <c r="E146" s="50"/>
      <c r="F146" s="41"/>
      <c r="G146" s="41"/>
      <c r="H146" s="41"/>
      <c r="I146" s="41"/>
    </row>
    <row r="147" spans="2:9">
      <c r="B147" s="41"/>
      <c r="C147" s="42" t="s">
        <v>378</v>
      </c>
      <c r="D147" s="43">
        <v>4</v>
      </c>
      <c r="E147" s="50"/>
      <c r="F147" s="41"/>
      <c r="G147" s="41"/>
      <c r="H147" s="41"/>
      <c r="I147" s="41"/>
    </row>
    <row r="148" spans="2:9">
      <c r="B148" s="41"/>
      <c r="C148" s="45" t="s">
        <v>379</v>
      </c>
      <c r="D148" s="46">
        <v>10</v>
      </c>
      <c r="E148" s="50"/>
      <c r="F148" s="41"/>
      <c r="G148" s="41"/>
      <c r="H148" s="41"/>
      <c r="I148" s="41"/>
    </row>
    <row r="149" spans="2:9">
      <c r="B149" s="41"/>
      <c r="C149" s="42" t="s">
        <v>380</v>
      </c>
      <c r="D149" s="48">
        <v>14</v>
      </c>
      <c r="E149" s="50"/>
      <c r="F149" s="41"/>
      <c r="G149" s="41"/>
      <c r="H149" s="41"/>
      <c r="I149" s="41"/>
    </row>
    <row r="150" spans="2:9">
      <c r="B150" s="41"/>
      <c r="C150" s="45" t="s">
        <v>189</v>
      </c>
      <c r="D150" s="46">
        <v>14</v>
      </c>
      <c r="E150" s="50"/>
      <c r="F150" s="41"/>
      <c r="G150" s="41"/>
      <c r="H150" s="41"/>
      <c r="I150" s="41"/>
    </row>
    <row r="151" spans="2:9">
      <c r="B151" s="41"/>
      <c r="C151" s="42" t="s">
        <v>381</v>
      </c>
      <c r="D151" s="43">
        <v>21</v>
      </c>
      <c r="E151" s="50"/>
      <c r="F151" s="41"/>
      <c r="G151" s="41"/>
      <c r="H151" s="41"/>
      <c r="I151" s="41"/>
    </row>
    <row r="152" spans="2:9">
      <c r="B152" s="41"/>
      <c r="C152" s="45" t="s">
        <v>190</v>
      </c>
      <c r="D152" s="46">
        <v>21</v>
      </c>
      <c r="E152" s="50"/>
      <c r="F152" s="41"/>
      <c r="G152" s="41"/>
      <c r="H152" s="41"/>
      <c r="I152" s="41"/>
    </row>
    <row r="153" spans="2:9">
      <c r="B153" s="41"/>
      <c r="C153" s="42" t="s">
        <v>382</v>
      </c>
      <c r="D153" s="48">
        <v>5</v>
      </c>
      <c r="E153" s="50"/>
      <c r="F153" s="41"/>
      <c r="G153" s="41"/>
      <c r="H153" s="41"/>
      <c r="I153" s="41"/>
    </row>
    <row r="154" spans="2:9">
      <c r="B154" s="41"/>
      <c r="C154" s="45" t="s">
        <v>383</v>
      </c>
      <c r="D154" s="46">
        <v>1</v>
      </c>
      <c r="E154" s="50"/>
      <c r="F154" s="41"/>
      <c r="G154" s="41"/>
      <c r="H154" s="41"/>
      <c r="I154" s="41"/>
    </row>
    <row r="155" spans="2:9">
      <c r="B155" s="41"/>
      <c r="C155" s="42" t="s">
        <v>192</v>
      </c>
      <c r="D155" s="43">
        <v>1</v>
      </c>
      <c r="E155" s="50"/>
      <c r="F155" s="41"/>
      <c r="G155" s="41"/>
      <c r="H155" s="41"/>
      <c r="I155" s="41"/>
    </row>
    <row r="156" spans="2:9">
      <c r="B156" s="41"/>
      <c r="C156" s="49" t="s">
        <v>191</v>
      </c>
      <c r="D156" s="46">
        <v>1</v>
      </c>
      <c r="E156" s="50"/>
      <c r="F156" s="41"/>
      <c r="G156" s="41"/>
      <c r="H156" s="41"/>
      <c r="I156" s="41"/>
    </row>
    <row r="157" spans="2:9">
      <c r="B157" s="41"/>
      <c r="C157" s="42" t="s">
        <v>384</v>
      </c>
      <c r="D157" s="48">
        <v>2</v>
      </c>
      <c r="E157" s="50"/>
      <c r="F157" s="41"/>
      <c r="G157" s="41"/>
      <c r="H157" s="41"/>
      <c r="I157" s="41"/>
    </row>
    <row r="158" spans="2:9">
      <c r="B158" s="41"/>
      <c r="C158" s="45" t="s">
        <v>385</v>
      </c>
      <c r="D158" s="46">
        <v>4</v>
      </c>
      <c r="E158" s="50"/>
      <c r="F158" s="41"/>
      <c r="G158" s="41"/>
      <c r="H158" s="41"/>
      <c r="I158" s="41"/>
    </row>
    <row r="159" spans="2:9">
      <c r="B159" s="41"/>
      <c r="C159" s="42" t="s">
        <v>193</v>
      </c>
      <c r="D159" s="43">
        <v>1</v>
      </c>
      <c r="E159" s="50"/>
      <c r="F159" s="41"/>
      <c r="G159" s="41"/>
      <c r="H159" s="41"/>
      <c r="I159" s="41"/>
    </row>
    <row r="160" spans="2:9">
      <c r="B160" s="41"/>
      <c r="C160" s="45" t="s">
        <v>194</v>
      </c>
      <c r="D160" s="46">
        <v>1</v>
      </c>
      <c r="E160" s="50"/>
      <c r="F160" s="41"/>
      <c r="G160" s="41"/>
      <c r="H160" s="41"/>
      <c r="I160" s="41"/>
    </row>
    <row r="161" spans="2:9">
      <c r="B161" s="41"/>
      <c r="C161" s="42" t="s">
        <v>195</v>
      </c>
      <c r="D161" s="48">
        <v>6</v>
      </c>
      <c r="E161" s="50"/>
      <c r="F161" s="41"/>
      <c r="G161" s="41"/>
      <c r="H161" s="41"/>
      <c r="I161" s="41"/>
    </row>
    <row r="162" spans="2:9">
      <c r="B162" s="41"/>
      <c r="C162" s="45" t="s">
        <v>386</v>
      </c>
      <c r="D162" s="46">
        <v>8</v>
      </c>
      <c r="E162" s="50"/>
      <c r="F162" s="41"/>
      <c r="G162" s="41"/>
      <c r="H162" s="41"/>
      <c r="I162" s="41"/>
    </row>
    <row r="163" spans="2:9">
      <c r="B163" s="41"/>
      <c r="C163" s="42" t="s">
        <v>387</v>
      </c>
      <c r="D163" s="43">
        <v>9</v>
      </c>
      <c r="E163" s="50"/>
      <c r="F163" s="41"/>
      <c r="G163" s="41"/>
      <c r="H163" s="41"/>
      <c r="I163" s="41"/>
    </row>
    <row r="164" spans="2:9">
      <c r="B164" s="41"/>
      <c r="C164" s="45" t="s">
        <v>388</v>
      </c>
      <c r="D164" s="46">
        <v>10</v>
      </c>
      <c r="E164" s="50"/>
      <c r="F164" s="41"/>
      <c r="G164" s="41"/>
      <c r="H164" s="41"/>
      <c r="I164" s="41"/>
    </row>
    <row r="165" spans="2:9">
      <c r="B165" s="41"/>
      <c r="C165" s="42" t="s">
        <v>389</v>
      </c>
      <c r="D165" s="48">
        <v>10</v>
      </c>
      <c r="E165" s="50"/>
      <c r="F165" s="41"/>
      <c r="G165" s="41"/>
      <c r="H165" s="41"/>
      <c r="I165" s="41"/>
    </row>
    <row r="166" spans="2:9">
      <c r="B166" s="41"/>
      <c r="C166" s="45" t="s">
        <v>390</v>
      </c>
      <c r="D166" s="46">
        <v>3</v>
      </c>
      <c r="E166" s="50"/>
      <c r="F166" s="41"/>
      <c r="G166" s="41"/>
      <c r="H166" s="41"/>
      <c r="I166" s="41"/>
    </row>
    <row r="167" spans="2:9">
      <c r="B167" s="41"/>
      <c r="C167" s="42" t="s">
        <v>196</v>
      </c>
      <c r="D167" s="43">
        <v>4</v>
      </c>
      <c r="E167" s="50"/>
      <c r="F167" s="41"/>
      <c r="G167" s="41"/>
      <c r="H167" s="41"/>
      <c r="I167" s="41"/>
    </row>
    <row r="168" spans="2:9">
      <c r="B168" s="41"/>
      <c r="C168" s="45" t="s">
        <v>391</v>
      </c>
      <c r="D168" s="46">
        <v>6</v>
      </c>
      <c r="E168" s="50"/>
      <c r="F168" s="41"/>
      <c r="G168" s="41"/>
      <c r="H168" s="41"/>
      <c r="I168" s="41"/>
    </row>
    <row r="169" spans="2:9">
      <c r="B169" s="41"/>
      <c r="C169" s="42" t="s">
        <v>197</v>
      </c>
      <c r="D169" s="43">
        <v>13</v>
      </c>
      <c r="E169" s="50"/>
      <c r="F169" s="41"/>
      <c r="G169" s="41"/>
      <c r="H169" s="41"/>
      <c r="I169" s="41"/>
    </row>
    <row r="170" spans="2:9">
      <c r="B170" s="41"/>
      <c r="C170" s="45" t="s">
        <v>198</v>
      </c>
      <c r="D170" s="46">
        <v>18</v>
      </c>
      <c r="E170" s="50"/>
      <c r="F170" s="41"/>
      <c r="G170" s="41"/>
      <c r="H170" s="41"/>
      <c r="I170" s="41"/>
    </row>
    <row r="171" spans="2:9">
      <c r="B171" s="41"/>
      <c r="C171" s="51" t="s">
        <v>392</v>
      </c>
      <c r="D171" s="48">
        <v>24</v>
      </c>
      <c r="E171" s="50"/>
      <c r="F171" s="41"/>
      <c r="G171" s="41"/>
      <c r="H171" s="41"/>
      <c r="I171" s="41"/>
    </row>
    <row r="172" spans="2:9">
      <c r="B172" s="41"/>
      <c r="C172" s="49" t="s">
        <v>393</v>
      </c>
      <c r="D172" s="46">
        <v>27</v>
      </c>
      <c r="E172" s="50"/>
      <c r="F172" s="41"/>
      <c r="G172" s="41"/>
      <c r="H172" s="41"/>
      <c r="I172" s="41"/>
    </row>
    <row r="173" spans="2:9">
      <c r="B173" s="41"/>
      <c r="C173" s="42" t="s">
        <v>394</v>
      </c>
      <c r="D173" s="48">
        <v>5</v>
      </c>
      <c r="E173" s="50"/>
      <c r="F173" s="41"/>
      <c r="G173" s="41"/>
      <c r="H173" s="41"/>
      <c r="I173" s="41"/>
    </row>
    <row r="174" spans="2:9">
      <c r="B174" s="41"/>
      <c r="C174" s="49" t="s">
        <v>395</v>
      </c>
      <c r="D174" s="46">
        <v>10</v>
      </c>
      <c r="E174" s="50"/>
      <c r="F174" s="41"/>
      <c r="G174" s="41"/>
      <c r="H174" s="41"/>
      <c r="I174" s="41"/>
    </row>
    <row r="175" spans="2:9">
      <c r="B175" s="41"/>
      <c r="C175" s="42" t="s">
        <v>396</v>
      </c>
      <c r="D175" s="48">
        <v>4</v>
      </c>
      <c r="E175" s="50"/>
      <c r="F175" s="41"/>
      <c r="G175" s="41"/>
      <c r="H175" s="41"/>
      <c r="I175" s="41"/>
    </row>
    <row r="176" spans="2:9">
      <c r="B176" s="41"/>
      <c r="C176" s="45" t="s">
        <v>397</v>
      </c>
      <c r="D176" s="46">
        <v>9</v>
      </c>
      <c r="E176" s="50"/>
      <c r="F176" s="41"/>
      <c r="G176" s="41"/>
      <c r="H176" s="41"/>
      <c r="I176" s="41"/>
    </row>
    <row r="177" spans="2:9">
      <c r="B177" s="41"/>
      <c r="C177" s="42" t="s">
        <v>199</v>
      </c>
      <c r="D177" s="48">
        <v>12</v>
      </c>
      <c r="E177" s="50"/>
      <c r="F177" s="41"/>
      <c r="G177" s="41"/>
      <c r="H177" s="41"/>
      <c r="I177" s="41"/>
    </row>
    <row r="178" spans="2:9">
      <c r="B178" s="41"/>
      <c r="C178" s="45" t="s">
        <v>200</v>
      </c>
      <c r="D178" s="46">
        <v>14</v>
      </c>
      <c r="E178" s="50"/>
      <c r="F178" s="41"/>
      <c r="G178" s="41"/>
      <c r="H178" s="41"/>
      <c r="I178" s="41"/>
    </row>
    <row r="179" spans="2:9">
      <c r="B179" s="41"/>
      <c r="C179" s="42" t="s">
        <v>201</v>
      </c>
      <c r="D179" s="48">
        <v>18</v>
      </c>
      <c r="E179" s="50"/>
      <c r="F179" s="41"/>
      <c r="G179" s="41"/>
      <c r="H179" s="41"/>
      <c r="I179" s="41"/>
    </row>
    <row r="180" spans="2:9">
      <c r="B180" s="41"/>
      <c r="C180" s="45" t="s">
        <v>398</v>
      </c>
      <c r="D180" s="46">
        <v>18</v>
      </c>
      <c r="E180" s="50"/>
      <c r="F180" s="41"/>
      <c r="G180" s="41"/>
      <c r="H180" s="41"/>
      <c r="I180" s="41"/>
    </row>
    <row r="181" spans="2:9">
      <c r="B181" s="41"/>
      <c r="C181" s="42" t="s">
        <v>202</v>
      </c>
      <c r="D181" s="48">
        <v>21</v>
      </c>
      <c r="E181" s="50"/>
      <c r="F181" s="41"/>
      <c r="G181" s="41"/>
      <c r="H181" s="41"/>
      <c r="I181" s="41"/>
    </row>
    <row r="182" spans="2:9">
      <c r="B182" s="41"/>
      <c r="C182" s="45" t="s">
        <v>203</v>
      </c>
      <c r="D182" s="46">
        <v>9</v>
      </c>
      <c r="E182" s="50"/>
      <c r="F182" s="41"/>
      <c r="G182" s="41"/>
      <c r="H182" s="41"/>
      <c r="I182" s="41"/>
    </row>
    <row r="183" spans="2:9">
      <c r="B183" s="41"/>
      <c r="C183" s="42" t="s">
        <v>204</v>
      </c>
      <c r="D183" s="48">
        <v>7</v>
      </c>
      <c r="E183" s="50"/>
      <c r="F183" s="41"/>
      <c r="G183" s="41"/>
      <c r="H183" s="41"/>
      <c r="I183" s="41"/>
    </row>
    <row r="184" spans="2:9">
      <c r="B184" s="41"/>
      <c r="C184" s="45" t="s">
        <v>205</v>
      </c>
      <c r="D184" s="46">
        <v>8</v>
      </c>
      <c r="E184" s="50"/>
      <c r="F184" s="41"/>
      <c r="G184" s="41"/>
      <c r="H184" s="41"/>
      <c r="I184" s="41"/>
    </row>
    <row r="185" spans="2:9">
      <c r="B185" s="41"/>
      <c r="C185" s="42" t="s">
        <v>206</v>
      </c>
      <c r="D185" s="48">
        <v>10</v>
      </c>
      <c r="E185" s="50"/>
      <c r="F185" s="41"/>
      <c r="G185" s="41"/>
      <c r="H185" s="41"/>
      <c r="I185" s="41"/>
    </row>
    <row r="186" spans="2:9">
      <c r="B186" s="41"/>
      <c r="C186" s="45" t="s">
        <v>207</v>
      </c>
      <c r="D186" s="46">
        <v>3</v>
      </c>
      <c r="E186" s="50"/>
      <c r="F186" s="41"/>
      <c r="G186" s="41"/>
      <c r="H186" s="41"/>
      <c r="I186" s="41"/>
    </row>
    <row r="187" spans="2:9">
      <c r="B187" s="41"/>
      <c r="C187" s="42" t="s">
        <v>399</v>
      </c>
      <c r="D187" s="48">
        <v>13</v>
      </c>
      <c r="E187" s="50"/>
      <c r="F187" s="41"/>
      <c r="G187" s="41"/>
      <c r="H187" s="41"/>
      <c r="I187" s="41"/>
    </row>
    <row r="188" spans="2:9">
      <c r="B188" s="41"/>
      <c r="C188" s="45" t="s">
        <v>208</v>
      </c>
      <c r="D188" s="46">
        <v>5</v>
      </c>
      <c r="E188" s="50"/>
      <c r="F188" s="41"/>
      <c r="G188" s="41"/>
      <c r="H188" s="41"/>
      <c r="I188" s="41"/>
    </row>
    <row r="189" spans="2:9">
      <c r="B189" s="41"/>
      <c r="C189" s="42" t="s">
        <v>400</v>
      </c>
      <c r="D189" s="48">
        <v>16</v>
      </c>
      <c r="E189" s="50"/>
      <c r="F189" s="41"/>
      <c r="G189" s="41"/>
      <c r="H189" s="41"/>
      <c r="I189" s="41"/>
    </row>
    <row r="190" spans="2:9">
      <c r="B190" s="41"/>
      <c r="C190" s="45" t="s">
        <v>401</v>
      </c>
      <c r="D190" s="46">
        <v>1</v>
      </c>
      <c r="E190" s="50"/>
      <c r="F190" s="41"/>
      <c r="G190" s="41"/>
      <c r="H190" s="41"/>
      <c r="I190" s="41"/>
    </row>
    <row r="191" spans="2:9">
      <c r="B191" s="41"/>
      <c r="C191" s="51" t="s">
        <v>209</v>
      </c>
      <c r="D191" s="48">
        <v>1</v>
      </c>
      <c r="E191" s="50"/>
      <c r="F191" s="41"/>
      <c r="G191" s="41"/>
      <c r="H191" s="41"/>
      <c r="I191" s="41"/>
    </row>
    <row r="192" spans="2:9">
      <c r="B192" s="41"/>
      <c r="C192" s="45" t="s">
        <v>210</v>
      </c>
      <c r="D192" s="52">
        <v>9</v>
      </c>
      <c r="E192" s="50"/>
      <c r="F192" s="41"/>
      <c r="G192" s="41"/>
      <c r="H192" s="41"/>
      <c r="I192" s="41"/>
    </row>
    <row r="193" spans="2:9">
      <c r="B193" s="41"/>
      <c r="C193" s="42" t="s">
        <v>211</v>
      </c>
      <c r="D193" s="53">
        <v>12</v>
      </c>
      <c r="E193" s="50"/>
      <c r="F193" s="41"/>
      <c r="G193" s="41"/>
      <c r="H193" s="41"/>
      <c r="I193" s="41"/>
    </row>
    <row r="194" spans="2:9">
      <c r="B194" s="41"/>
      <c r="C194" s="45" t="s">
        <v>212</v>
      </c>
      <c r="D194" s="52">
        <v>14</v>
      </c>
      <c r="E194" s="50"/>
      <c r="F194" s="41"/>
      <c r="G194" s="41"/>
      <c r="H194" s="41"/>
      <c r="I194" s="41"/>
    </row>
    <row r="195" spans="2:9">
      <c r="B195" s="41"/>
      <c r="C195" s="42" t="s">
        <v>213</v>
      </c>
      <c r="D195" s="53">
        <v>18</v>
      </c>
      <c r="E195" s="50"/>
      <c r="F195" s="41"/>
      <c r="G195" s="41"/>
      <c r="H195" s="41"/>
      <c r="I195" s="41"/>
    </row>
    <row r="196" spans="2:9">
      <c r="B196" s="41"/>
      <c r="C196" s="45" t="s">
        <v>402</v>
      </c>
      <c r="D196" s="52">
        <v>18</v>
      </c>
      <c r="E196" s="50"/>
      <c r="F196" s="41"/>
      <c r="G196" s="41"/>
      <c r="H196" s="41"/>
      <c r="I196" s="41"/>
    </row>
    <row r="197" spans="2:9">
      <c r="B197" s="41"/>
      <c r="C197" s="42" t="s">
        <v>214</v>
      </c>
      <c r="D197" s="53">
        <v>21</v>
      </c>
      <c r="E197" s="50"/>
      <c r="F197" s="41"/>
      <c r="G197" s="41"/>
      <c r="H197" s="41"/>
      <c r="I197" s="41"/>
    </row>
    <row r="198" spans="2:9">
      <c r="B198" s="41"/>
      <c r="C198" s="45" t="s">
        <v>215</v>
      </c>
      <c r="D198" s="52">
        <v>9</v>
      </c>
      <c r="E198" s="50"/>
      <c r="F198" s="41"/>
      <c r="G198" s="41"/>
      <c r="H198" s="41"/>
      <c r="I198" s="41"/>
    </row>
    <row r="199" spans="2:9">
      <c r="B199" s="41"/>
      <c r="C199" s="42" t="s">
        <v>216</v>
      </c>
      <c r="D199" s="53">
        <v>7</v>
      </c>
      <c r="E199" s="50"/>
      <c r="F199" s="41"/>
      <c r="G199" s="41"/>
      <c r="H199" s="41"/>
      <c r="I199" s="41"/>
    </row>
    <row r="200" spans="2:9">
      <c r="B200" s="41"/>
      <c r="C200" s="45" t="s">
        <v>217</v>
      </c>
      <c r="D200" s="52">
        <v>10</v>
      </c>
      <c r="E200" s="50"/>
      <c r="F200" s="41"/>
      <c r="G200" s="41"/>
      <c r="H200" s="41"/>
      <c r="I200" s="41"/>
    </row>
    <row r="201" spans="2:9">
      <c r="B201" s="41"/>
      <c r="C201" s="42" t="s">
        <v>218</v>
      </c>
      <c r="D201" s="53">
        <v>8</v>
      </c>
      <c r="E201" s="50"/>
      <c r="F201" s="41"/>
      <c r="G201" s="41"/>
      <c r="H201" s="41"/>
      <c r="I201" s="41"/>
    </row>
    <row r="202" spans="2:9">
      <c r="B202" s="41"/>
      <c r="C202" s="45" t="s">
        <v>220</v>
      </c>
      <c r="D202" s="52">
        <v>3</v>
      </c>
      <c r="E202" s="50"/>
      <c r="F202" s="41"/>
      <c r="G202" s="41"/>
      <c r="H202" s="41"/>
      <c r="I202" s="41"/>
    </row>
    <row r="203" spans="2:9">
      <c r="B203" s="41"/>
      <c r="C203" s="42" t="s">
        <v>219</v>
      </c>
      <c r="D203" s="53">
        <v>13</v>
      </c>
      <c r="E203" s="50"/>
      <c r="F203" s="41"/>
      <c r="G203" s="41"/>
      <c r="H203" s="41"/>
      <c r="I203" s="41"/>
    </row>
    <row r="204" spans="2:9">
      <c r="B204" s="41"/>
      <c r="C204" s="45" t="s">
        <v>221</v>
      </c>
      <c r="D204" s="52">
        <v>4</v>
      </c>
      <c r="E204" s="50"/>
      <c r="F204" s="41"/>
      <c r="G204" s="41"/>
      <c r="H204" s="41"/>
      <c r="I204" s="41"/>
    </row>
    <row r="205" spans="2:9">
      <c r="B205" s="41"/>
      <c r="C205" s="42" t="s">
        <v>403</v>
      </c>
      <c r="D205" s="53">
        <v>16</v>
      </c>
      <c r="E205" s="50"/>
      <c r="F205" s="41"/>
      <c r="G205" s="41"/>
      <c r="H205" s="41"/>
      <c r="I205" s="41"/>
    </row>
    <row r="206" spans="2:9">
      <c r="B206" s="41"/>
      <c r="C206" s="45" t="s">
        <v>222</v>
      </c>
      <c r="D206" s="52">
        <v>1</v>
      </c>
      <c r="E206" s="50"/>
      <c r="F206" s="41"/>
      <c r="G206" s="41"/>
      <c r="H206" s="41"/>
      <c r="I206" s="41"/>
    </row>
    <row r="207" spans="2:9">
      <c r="B207" s="41"/>
      <c r="C207" s="54" t="s">
        <v>404</v>
      </c>
      <c r="D207" s="55"/>
      <c r="E207" s="50"/>
      <c r="F207" s="41"/>
      <c r="G207" s="41"/>
      <c r="H207" s="41"/>
      <c r="I207" s="41"/>
    </row>
    <row r="208" spans="2:9">
      <c r="B208" s="41"/>
      <c r="C208" s="56" t="s">
        <v>223</v>
      </c>
      <c r="D208" s="57"/>
      <c r="E208" s="50"/>
      <c r="F208" s="41"/>
      <c r="G208" s="41"/>
      <c r="H208" s="41"/>
      <c r="I208" s="41"/>
    </row>
    <row r="209" spans="2:9">
      <c r="B209" s="41"/>
      <c r="C209" s="56" t="s">
        <v>405</v>
      </c>
      <c r="D209" s="56" t="s">
        <v>226</v>
      </c>
      <c r="E209" s="50"/>
      <c r="F209" s="41"/>
      <c r="G209" s="41"/>
      <c r="H209" s="41"/>
      <c r="I209" s="41"/>
    </row>
    <row r="210" spans="2:9">
      <c r="B210" s="41"/>
      <c r="C210" s="56" t="s">
        <v>224</v>
      </c>
      <c r="D210" s="56" t="s">
        <v>227</v>
      </c>
      <c r="E210" s="50"/>
      <c r="F210" s="41"/>
      <c r="G210" s="41"/>
      <c r="H210" s="41"/>
      <c r="I210" s="41"/>
    </row>
    <row r="211" spans="2:9">
      <c r="B211" s="41"/>
      <c r="C211" s="56" t="s">
        <v>225</v>
      </c>
      <c r="D211" s="56" t="s">
        <v>228</v>
      </c>
      <c r="E211" s="50"/>
      <c r="F211" s="41"/>
      <c r="G211" s="41"/>
      <c r="H211" s="41"/>
      <c r="I211" s="41"/>
    </row>
    <row r="212" spans="2:9">
      <c r="B212" s="41"/>
      <c r="C212" s="56" t="s">
        <v>406</v>
      </c>
      <c r="D212" s="56" t="s">
        <v>229</v>
      </c>
      <c r="E212" s="50"/>
      <c r="F212" s="41"/>
      <c r="G212" s="41"/>
      <c r="H212" s="41"/>
      <c r="I212" s="41"/>
    </row>
    <row r="213" spans="2:9">
      <c r="B213" s="41"/>
      <c r="C213" s="56" t="s">
        <v>407</v>
      </c>
      <c r="D213" s="56" t="s">
        <v>230</v>
      </c>
      <c r="E213" s="50"/>
      <c r="F213" s="41"/>
      <c r="G213" s="41"/>
      <c r="H213" s="41"/>
      <c r="I213" s="41"/>
    </row>
    <row r="214" spans="2:9">
      <c r="B214" s="41"/>
      <c r="C214" s="56" t="s">
        <v>408</v>
      </c>
      <c r="D214" s="56" t="s">
        <v>231</v>
      </c>
      <c r="E214" s="50"/>
      <c r="F214" s="41"/>
      <c r="G214" s="41"/>
      <c r="H214" s="41"/>
      <c r="I214" s="41"/>
    </row>
    <row r="215" spans="2:9">
      <c r="B215" s="41"/>
      <c r="C215" s="56" t="s">
        <v>409</v>
      </c>
      <c r="D215" s="56" t="s">
        <v>232</v>
      </c>
      <c r="E215" s="50"/>
      <c r="F215" s="41"/>
      <c r="G215" s="41"/>
      <c r="H215" s="41"/>
      <c r="I215" s="41"/>
    </row>
    <row r="216" spans="2:9">
      <c r="B216" s="41"/>
      <c r="C216" s="56">
        <v>8</v>
      </c>
      <c r="D216" s="56" t="s">
        <v>233</v>
      </c>
      <c r="E216" s="50"/>
      <c r="F216" s="41"/>
      <c r="G216" s="41"/>
      <c r="H216" s="41"/>
      <c r="I216" s="41"/>
    </row>
    <row r="217" spans="2:9">
      <c r="B217" s="41"/>
      <c r="C217" s="56">
        <v>48</v>
      </c>
      <c r="D217" s="56" t="s">
        <v>234</v>
      </c>
      <c r="E217" s="50"/>
      <c r="F217" s="41"/>
      <c r="G217" s="41"/>
      <c r="H217" s="41"/>
      <c r="I217" s="41"/>
    </row>
    <row r="218" spans="2:9">
      <c r="B218" s="41"/>
      <c r="C218" s="56">
        <v>9</v>
      </c>
      <c r="D218" s="56" t="s">
        <v>235</v>
      </c>
      <c r="E218" s="50"/>
      <c r="F218" s="41"/>
      <c r="G218" s="41"/>
      <c r="H218" s="41"/>
      <c r="I218" s="41"/>
    </row>
    <row r="219" spans="2:9">
      <c r="B219" s="41"/>
      <c r="C219" s="56">
        <v>10</v>
      </c>
      <c r="D219" s="56" t="s">
        <v>236</v>
      </c>
      <c r="E219" s="50"/>
      <c r="F219" s="41"/>
      <c r="G219" s="41"/>
      <c r="H219" s="41"/>
      <c r="I219" s="41"/>
    </row>
    <row r="220" spans="2:9">
      <c r="B220" s="41"/>
      <c r="C220" s="56">
        <v>11</v>
      </c>
      <c r="D220" s="56" t="s">
        <v>237</v>
      </c>
      <c r="E220" s="50"/>
      <c r="F220" s="41"/>
      <c r="G220" s="41"/>
      <c r="H220" s="41"/>
      <c r="I220" s="41"/>
    </row>
    <row r="221" spans="2:9">
      <c r="B221" s="41"/>
      <c r="C221" s="56">
        <v>39</v>
      </c>
      <c r="D221" s="56" t="s">
        <v>238</v>
      </c>
      <c r="E221" s="50"/>
      <c r="F221" s="41"/>
      <c r="G221" s="41"/>
      <c r="H221" s="41"/>
      <c r="I221" s="41"/>
    </row>
    <row r="222" spans="2:9">
      <c r="B222" s="41"/>
      <c r="C222" s="56">
        <v>12</v>
      </c>
      <c r="D222" s="56" t="s">
        <v>239</v>
      </c>
      <c r="E222" s="50"/>
      <c r="F222" s="41"/>
      <c r="G222" s="41"/>
      <c r="H222" s="41"/>
      <c r="I222" s="41"/>
    </row>
    <row r="223" spans="2:9">
      <c r="B223" s="41"/>
      <c r="C223" s="56">
        <v>13</v>
      </c>
      <c r="D223" s="56" t="s">
        <v>240</v>
      </c>
      <c r="E223" s="50"/>
      <c r="F223" s="41"/>
      <c r="G223" s="41"/>
      <c r="H223" s="41"/>
      <c r="I223" s="41"/>
    </row>
    <row r="224" spans="2:9">
      <c r="B224" s="41"/>
      <c r="C224" s="56">
        <v>14</v>
      </c>
      <c r="D224" s="56" t="s">
        <v>241</v>
      </c>
      <c r="E224" s="50"/>
      <c r="F224" s="41"/>
      <c r="G224" s="41"/>
      <c r="H224" s="41"/>
      <c r="I224" s="41"/>
    </row>
    <row r="225" spans="2:9">
      <c r="B225" s="41"/>
      <c r="C225" s="56">
        <v>15</v>
      </c>
      <c r="D225" s="56" t="s">
        <v>242</v>
      </c>
      <c r="E225" s="50"/>
      <c r="F225" s="41"/>
      <c r="G225" s="41"/>
      <c r="H225" s="41"/>
      <c r="I225" s="41"/>
    </row>
    <row r="226" spans="2:9">
      <c r="B226" s="41"/>
      <c r="C226" s="56">
        <v>16</v>
      </c>
      <c r="D226" s="56" t="s">
        <v>243</v>
      </c>
      <c r="E226" s="50"/>
      <c r="F226" s="41"/>
      <c r="G226" s="41"/>
      <c r="H226" s="41"/>
      <c r="I226" s="41"/>
    </row>
    <row r="227" spans="2:9">
      <c r="B227" s="41"/>
      <c r="C227" s="56">
        <v>20</v>
      </c>
      <c r="D227" s="56" t="s">
        <v>244</v>
      </c>
      <c r="E227" s="50"/>
      <c r="F227" s="41"/>
      <c r="G227" s="41"/>
      <c r="H227" s="41"/>
      <c r="I227" s="41"/>
    </row>
    <row r="228" spans="2:9">
      <c r="B228" s="41"/>
      <c r="C228" s="56">
        <v>17</v>
      </c>
      <c r="D228" s="56" t="s">
        <v>245</v>
      </c>
      <c r="E228" s="50"/>
      <c r="F228" s="41"/>
      <c r="G228" s="41"/>
      <c r="H228" s="41"/>
      <c r="I228" s="41"/>
    </row>
    <row r="229" spans="2:9">
      <c r="B229" s="41"/>
      <c r="C229" s="56">
        <v>18</v>
      </c>
      <c r="D229" s="56" t="s">
        <v>246</v>
      </c>
      <c r="E229" s="50"/>
      <c r="F229" s="41"/>
      <c r="G229" s="41"/>
      <c r="H229" s="41"/>
      <c r="I229" s="41"/>
    </row>
    <row r="230" spans="2:9">
      <c r="B230" s="41"/>
      <c r="C230" s="56">
        <v>19</v>
      </c>
      <c r="D230" s="56" t="s">
        <v>247</v>
      </c>
      <c r="E230" s="50"/>
      <c r="F230" s="41"/>
      <c r="G230" s="41"/>
      <c r="H230" s="41"/>
      <c r="I230" s="41"/>
    </row>
    <row r="231" spans="2:9">
      <c r="B231" s="41"/>
      <c r="C231" s="56">
        <v>21</v>
      </c>
      <c r="D231" s="56" t="s">
        <v>248</v>
      </c>
      <c r="E231" s="50"/>
      <c r="F231" s="41"/>
      <c r="G231" s="41"/>
      <c r="H231" s="41"/>
      <c r="I231" s="41"/>
    </row>
    <row r="232" spans="2:9">
      <c r="B232" s="41"/>
      <c r="C232" s="56">
        <v>22</v>
      </c>
      <c r="D232" s="56" t="s">
        <v>249</v>
      </c>
      <c r="E232" s="50"/>
      <c r="F232" s="41"/>
      <c r="G232" s="41"/>
      <c r="H232" s="41"/>
      <c r="I232" s="41"/>
    </row>
    <row r="233" spans="2:9">
      <c r="B233" s="41"/>
      <c r="C233" s="56">
        <v>23</v>
      </c>
      <c r="D233" s="56" t="s">
        <v>250</v>
      </c>
      <c r="E233" s="50"/>
      <c r="F233" s="41"/>
      <c r="G233" s="41"/>
      <c r="H233" s="41"/>
      <c r="I233" s="41"/>
    </row>
    <row r="234" spans="2:9">
      <c r="B234" s="41"/>
      <c r="C234" s="56">
        <v>24</v>
      </c>
      <c r="D234" s="56" t="s">
        <v>251</v>
      </c>
      <c r="E234" s="50"/>
      <c r="F234" s="41"/>
      <c r="G234" s="41"/>
      <c r="H234" s="41"/>
      <c r="I234" s="41"/>
    </row>
    <row r="235" spans="2:9">
      <c r="B235" s="41"/>
      <c r="C235" s="56">
        <v>25</v>
      </c>
      <c r="D235" s="56" t="s">
        <v>252</v>
      </c>
      <c r="E235" s="50"/>
      <c r="F235" s="41"/>
      <c r="G235" s="41"/>
      <c r="H235" s="41"/>
      <c r="I235" s="41"/>
    </row>
    <row r="236" spans="2:9">
      <c r="B236" s="41"/>
      <c r="C236" s="56">
        <v>27</v>
      </c>
      <c r="D236" s="56" t="s">
        <v>253</v>
      </c>
      <c r="E236" s="50"/>
      <c r="F236" s="41"/>
      <c r="G236" s="41"/>
      <c r="H236" s="41"/>
      <c r="I236" s="41"/>
    </row>
    <row r="237" spans="2:9">
      <c r="B237" s="41"/>
      <c r="C237" s="56">
        <v>28</v>
      </c>
      <c r="D237" s="56" t="s">
        <v>254</v>
      </c>
      <c r="E237" s="50"/>
      <c r="F237" s="41"/>
      <c r="G237" s="41"/>
      <c r="H237" s="41"/>
      <c r="I237" s="41"/>
    </row>
    <row r="238" spans="2:9">
      <c r="B238" s="41"/>
      <c r="C238" s="56">
        <v>29</v>
      </c>
      <c r="D238" s="56" t="s">
        <v>255</v>
      </c>
      <c r="E238" s="50"/>
      <c r="F238" s="41"/>
      <c r="G238" s="41"/>
      <c r="H238" s="41"/>
      <c r="I238" s="41"/>
    </row>
    <row r="239" spans="2:9">
      <c r="B239" s="41"/>
      <c r="C239" s="56">
        <v>30</v>
      </c>
      <c r="D239" s="56" t="s">
        <v>256</v>
      </c>
      <c r="E239" s="50"/>
      <c r="F239" s="41"/>
      <c r="G239" s="41"/>
      <c r="H239" s="41"/>
      <c r="I239" s="41"/>
    </row>
    <row r="240" spans="2:9">
      <c r="B240" s="41"/>
      <c r="C240" s="56">
        <v>31</v>
      </c>
      <c r="D240" s="56" t="s">
        <v>257</v>
      </c>
      <c r="E240" s="50"/>
      <c r="F240" s="41"/>
      <c r="G240" s="41"/>
      <c r="H240" s="41"/>
      <c r="I240" s="41"/>
    </row>
    <row r="241" spans="2:9">
      <c r="B241" s="41"/>
      <c r="C241" s="56">
        <v>32</v>
      </c>
      <c r="D241" s="56" t="s">
        <v>258</v>
      </c>
      <c r="E241" s="50"/>
      <c r="F241" s="41"/>
      <c r="G241" s="41"/>
      <c r="H241" s="41"/>
      <c r="I241" s="41"/>
    </row>
    <row r="242" spans="2:9">
      <c r="B242" s="41"/>
      <c r="C242" s="56">
        <v>34</v>
      </c>
      <c r="D242" s="56" t="s">
        <v>259</v>
      </c>
      <c r="E242" s="50"/>
      <c r="F242" s="41"/>
      <c r="G242" s="41"/>
      <c r="H242" s="41"/>
      <c r="I242" s="41"/>
    </row>
    <row r="243" spans="2:9">
      <c r="B243" s="41"/>
      <c r="C243" s="56">
        <v>35</v>
      </c>
      <c r="D243" s="56" t="s">
        <v>260</v>
      </c>
      <c r="E243" s="50"/>
      <c r="F243" s="41"/>
      <c r="G243" s="41"/>
      <c r="H243" s="41"/>
      <c r="I243" s="41"/>
    </row>
    <row r="244" spans="2:9">
      <c r="B244" s="41"/>
      <c r="C244" s="56">
        <v>36</v>
      </c>
      <c r="D244" s="56" t="s">
        <v>261</v>
      </c>
      <c r="E244" s="50"/>
      <c r="F244" s="41"/>
      <c r="G244" s="41"/>
      <c r="H244" s="41"/>
      <c r="I244" s="41"/>
    </row>
    <row r="245" spans="2:9">
      <c r="B245" s="41"/>
      <c r="C245" s="56">
        <v>26</v>
      </c>
      <c r="D245" s="56" t="s">
        <v>262</v>
      </c>
      <c r="E245" s="50"/>
      <c r="F245" s="41"/>
      <c r="G245" s="41"/>
      <c r="H245" s="41"/>
      <c r="I245" s="41"/>
    </row>
    <row r="246" spans="2:9">
      <c r="B246" s="41"/>
      <c r="C246" s="56">
        <v>37</v>
      </c>
      <c r="D246" s="56" t="s">
        <v>263</v>
      </c>
      <c r="E246" s="50"/>
      <c r="F246" s="41"/>
      <c r="G246" s="41"/>
      <c r="H246" s="41"/>
      <c r="I246" s="41"/>
    </row>
    <row r="247" spans="2:9" ht="30">
      <c r="B247" s="41"/>
      <c r="C247" s="56">
        <v>38</v>
      </c>
      <c r="D247" s="56" t="s">
        <v>264</v>
      </c>
      <c r="E247" s="50"/>
      <c r="F247" s="41"/>
      <c r="G247" s="41"/>
      <c r="H247" s="41"/>
      <c r="I247" s="41"/>
    </row>
    <row r="248" spans="2:9">
      <c r="B248" s="41"/>
      <c r="C248" s="56">
        <v>40</v>
      </c>
      <c r="D248" s="56" t="s">
        <v>265</v>
      </c>
      <c r="E248" s="50"/>
      <c r="F248" s="41"/>
      <c r="G248" s="41"/>
      <c r="H248" s="41"/>
      <c r="I248" s="41"/>
    </row>
    <row r="249" spans="2:9">
      <c r="B249" s="41"/>
      <c r="C249" s="56">
        <v>41</v>
      </c>
      <c r="D249" s="56" t="s">
        <v>266</v>
      </c>
      <c r="E249" s="50"/>
      <c r="F249" s="41"/>
      <c r="G249" s="41"/>
      <c r="H249" s="41"/>
      <c r="I249" s="41"/>
    </row>
    <row r="250" spans="2:9">
      <c r="B250" s="41"/>
      <c r="C250" s="56">
        <v>42</v>
      </c>
      <c r="D250" s="56" t="s">
        <v>267</v>
      </c>
      <c r="E250" s="50"/>
      <c r="F250" s="41"/>
      <c r="G250" s="41"/>
      <c r="H250" s="41"/>
      <c r="I250" s="41"/>
    </row>
    <row r="251" spans="2:9">
      <c r="B251" s="41"/>
      <c r="C251" s="56">
        <v>43</v>
      </c>
      <c r="D251" s="56" t="s">
        <v>268</v>
      </c>
      <c r="E251" s="50"/>
      <c r="F251" s="41"/>
      <c r="G251" s="41"/>
      <c r="H251" s="41"/>
      <c r="I251" s="41"/>
    </row>
    <row r="252" spans="2:9">
      <c r="B252" s="41"/>
      <c r="C252" s="56">
        <v>44</v>
      </c>
      <c r="D252" s="56" t="s">
        <v>269</v>
      </c>
      <c r="E252" s="50"/>
      <c r="F252" s="41"/>
      <c r="G252" s="41"/>
      <c r="H252" s="41"/>
      <c r="I252" s="41"/>
    </row>
    <row r="253" spans="2:9">
      <c r="B253" s="41"/>
      <c r="C253" s="56">
        <v>45</v>
      </c>
      <c r="D253" s="56" t="s">
        <v>270</v>
      </c>
      <c r="E253" s="50"/>
      <c r="F253" s="41"/>
      <c r="G253" s="41"/>
      <c r="H253" s="41"/>
      <c r="I253" s="41"/>
    </row>
    <row r="254" spans="2:9">
      <c r="B254" s="41"/>
      <c r="C254" s="56">
        <v>46</v>
      </c>
      <c r="D254" s="56" t="s">
        <v>271</v>
      </c>
      <c r="E254" s="50"/>
      <c r="F254" s="41"/>
      <c r="G254" s="41"/>
      <c r="H254" s="41"/>
      <c r="I254" s="41"/>
    </row>
    <row r="255" spans="2:9">
      <c r="B255" s="41"/>
      <c r="C255" s="56">
        <v>47</v>
      </c>
      <c r="D255" s="56" t="s">
        <v>272</v>
      </c>
      <c r="E255" s="50"/>
      <c r="H255" s="41"/>
      <c r="I255" s="41"/>
    </row>
    <row r="256" spans="2:9">
      <c r="C256" s="56">
        <v>49</v>
      </c>
      <c r="D256" s="56" t="s">
        <v>273</v>
      </c>
      <c r="E256" s="50"/>
    </row>
    <row r="257" spans="3:5">
      <c r="C257" s="56">
        <v>50</v>
      </c>
      <c r="D257" s="56" t="s">
        <v>274</v>
      </c>
      <c r="E257" s="50"/>
    </row>
    <row r="258" spans="3:5">
      <c r="C258" s="56">
        <v>51</v>
      </c>
      <c r="D258" s="56" t="s">
        <v>275</v>
      </c>
      <c r="E258" s="50"/>
    </row>
    <row r="259" spans="3:5">
      <c r="C259" s="56">
        <v>52</v>
      </c>
      <c r="D259" s="56" t="s">
        <v>276</v>
      </c>
      <c r="E259" s="50"/>
    </row>
    <row r="260" spans="3:5">
      <c r="C260" s="54"/>
      <c r="D260" s="55"/>
      <c r="E260" s="50"/>
    </row>
    <row r="261" spans="3:5">
      <c r="C261" s="54"/>
      <c r="D261" s="55"/>
      <c r="E261" s="50"/>
    </row>
    <row r="262" spans="3:5">
      <c r="C262" s="54"/>
      <c r="D262" s="55"/>
      <c r="E262" s="50"/>
    </row>
    <row r="263" spans="3:5">
      <c r="C263" s="54"/>
      <c r="D263" s="55"/>
      <c r="E263" s="50"/>
    </row>
    <row r="264" spans="3:5">
      <c r="C264" s="54"/>
      <c r="D264" s="55"/>
      <c r="E264" s="50"/>
    </row>
    <row r="265" spans="3:5">
      <c r="C265" s="54"/>
      <c r="D265" s="55"/>
      <c r="E265" s="50"/>
    </row>
    <row r="266" spans="3:5">
      <c r="C266" s="54"/>
      <c r="D266" s="55"/>
      <c r="E266" s="50"/>
    </row>
    <row r="267" spans="3:5">
      <c r="C267" s="54"/>
      <c r="D267" s="55"/>
      <c r="E267" s="50"/>
    </row>
    <row r="268" spans="3:5">
      <c r="C268" s="54"/>
      <c r="D268" s="55"/>
      <c r="E268" s="50"/>
    </row>
    <row r="269" spans="3:5">
      <c r="C269" s="54"/>
      <c r="D269" s="55"/>
      <c r="E269" s="50"/>
    </row>
    <row r="270" spans="3:5">
      <c r="C270" s="54"/>
      <c r="D270" s="55"/>
      <c r="E270" s="50"/>
    </row>
    <row r="271" spans="3:5">
      <c r="C271" s="58"/>
      <c r="D271" s="59"/>
      <c r="E271" s="6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showGridLines="0" workbookViewId="0">
      <selection activeCell="L11" sqref="L11"/>
    </sheetView>
  </sheetViews>
  <sheetFormatPr baseColWidth="10" defaultRowHeight="15"/>
  <sheetData/>
  <sheetProtection password="DD8A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Ahorrometro</vt:lpstr>
      <vt:lpstr>Hoja2</vt:lpstr>
      <vt:lpstr>Información de Penalizaciones</vt:lpstr>
      <vt:lpstr>Ahorrometro!Área_de_impresión</vt:lpstr>
    </vt:vector>
  </TitlesOfParts>
  <Company>ORANGE FT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MUÑOZ MONTERO, ALFREDO</dc:creator>
  <cp:lastModifiedBy>TELEOPERADORA</cp:lastModifiedBy>
  <cp:lastPrinted>2017-09-25T08:06:44Z</cp:lastPrinted>
  <dcterms:created xsi:type="dcterms:W3CDTF">2013-04-16T13:22:07Z</dcterms:created>
  <dcterms:modified xsi:type="dcterms:W3CDTF">2017-09-25T08:26:17Z</dcterms:modified>
</cp:coreProperties>
</file>